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/Programovanie sorty/"/>
    </mc:Choice>
  </mc:AlternateContent>
  <xr:revisionPtr revIDLastSave="0" documentId="13_ncr:1_{8D34C0E4-41FB-F744-B93F-49830A230851}" xr6:coauthVersionLast="47" xr6:coauthVersionMax="47" xr10:uidLastSave="{00000000-0000-0000-0000-000000000000}"/>
  <bookViews>
    <workbookView xWindow="18000" yWindow="780" windowWidth="18000" windowHeight="22600" activeTab="3" xr2:uid="{D82D5ADA-0F25-4B9C-B60B-8B6BC2A26708}"/>
  </bookViews>
  <sheets>
    <sheet name="Search" sheetId="1" r:id="rId1"/>
    <sheet name="Sort rovnomerné data" sheetId="2" r:id="rId2"/>
    <sheet name="Sort kolísavo rastúce data" sheetId="4" r:id="rId3"/>
    <sheet name="Sort kolísavo klesajúce data" sheetId="6" r:id="rId4"/>
    <sheet name="Graf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6" l="1"/>
  <c r="R25" i="4"/>
  <c r="R25" i="2"/>
  <c r="K25" i="6"/>
  <c r="K25" i="4"/>
  <c r="K25" i="2"/>
  <c r="D25" i="6"/>
  <c r="D25" i="4"/>
  <c r="D25" i="2"/>
  <c r="R24" i="6"/>
  <c r="I13" i="2"/>
  <c r="J25" i="2"/>
  <c r="Q25" i="2"/>
  <c r="X25" i="2"/>
  <c r="U13" i="2"/>
  <c r="O13" i="2"/>
  <c r="J25" i="4"/>
  <c r="Q25" i="4"/>
  <c r="X25" i="4"/>
  <c r="U13" i="4"/>
  <c r="O13" i="4"/>
  <c r="I13" i="4"/>
  <c r="J25" i="6"/>
  <c r="X25" i="6"/>
  <c r="Q25" i="6"/>
  <c r="U13" i="6"/>
  <c r="O13" i="6"/>
  <c r="I13" i="6"/>
  <c r="X21" i="6"/>
  <c r="Q24" i="4"/>
  <c r="C8" i="5"/>
  <c r="E9" i="5"/>
  <c r="D9" i="5"/>
  <c r="D8" i="5"/>
  <c r="C9" i="5"/>
  <c r="E8" i="5"/>
  <c r="I7" i="1"/>
  <c r="I19" i="1" s="1"/>
  <c r="X24" i="6"/>
  <c r="X22" i="6"/>
  <c r="Q20" i="6"/>
  <c r="Q19" i="6"/>
  <c r="Q18" i="6"/>
  <c r="Q21" i="6"/>
  <c r="Q22" i="6"/>
  <c r="Q23" i="6"/>
  <c r="Q24" i="6"/>
  <c r="J19" i="6"/>
  <c r="J20" i="6"/>
  <c r="J21" i="6"/>
  <c r="J22" i="6"/>
  <c r="J23" i="6"/>
  <c r="J24" i="6"/>
  <c r="X19" i="6"/>
  <c r="X20" i="6"/>
  <c r="X23" i="6"/>
  <c r="U7" i="6"/>
  <c r="R19" i="6" s="1"/>
  <c r="U8" i="6"/>
  <c r="U9" i="6"/>
  <c r="U10" i="6"/>
  <c r="U11" i="6"/>
  <c r="R23" i="6" s="1"/>
  <c r="U12" i="6"/>
  <c r="O7" i="6"/>
  <c r="K19" i="6" s="1"/>
  <c r="O8" i="6"/>
  <c r="K20" i="6" s="1"/>
  <c r="O9" i="6"/>
  <c r="O10" i="6"/>
  <c r="O11" i="6"/>
  <c r="O12" i="6"/>
  <c r="I7" i="6"/>
  <c r="I8" i="6"/>
  <c r="I9" i="6"/>
  <c r="I10" i="6"/>
  <c r="I11" i="6"/>
  <c r="I12" i="6"/>
  <c r="D24" i="6" s="1"/>
  <c r="X18" i="6"/>
  <c r="J18" i="6"/>
  <c r="U6" i="6"/>
  <c r="O6" i="6"/>
  <c r="I6" i="6"/>
  <c r="X19" i="4"/>
  <c r="X20" i="4"/>
  <c r="X21" i="4"/>
  <c r="X22" i="4"/>
  <c r="X23" i="4"/>
  <c r="X24" i="4"/>
  <c r="X18" i="4"/>
  <c r="Q19" i="4"/>
  <c r="Q20" i="4"/>
  <c r="Q21" i="4"/>
  <c r="Q22" i="4"/>
  <c r="Q23" i="4"/>
  <c r="Q18" i="4"/>
  <c r="J19" i="4"/>
  <c r="J20" i="4"/>
  <c r="J21" i="4"/>
  <c r="J22" i="4"/>
  <c r="J23" i="4"/>
  <c r="J24" i="4"/>
  <c r="J18" i="4"/>
  <c r="U7" i="4"/>
  <c r="U8" i="4"/>
  <c r="U9" i="4"/>
  <c r="R21" i="4" s="1"/>
  <c r="U10" i="4"/>
  <c r="R22" i="4" s="1"/>
  <c r="U11" i="4"/>
  <c r="U12" i="4"/>
  <c r="U6" i="4"/>
  <c r="R18" i="4" s="1"/>
  <c r="O12" i="4"/>
  <c r="O7" i="4"/>
  <c r="K19" i="4" s="1"/>
  <c r="O8" i="4"/>
  <c r="O9" i="4"/>
  <c r="O10" i="4"/>
  <c r="O11" i="4"/>
  <c r="O6" i="4"/>
  <c r="K18" i="4" s="1"/>
  <c r="I7" i="4"/>
  <c r="D19" i="4" s="1"/>
  <c r="I8" i="4"/>
  <c r="D20" i="4" s="1"/>
  <c r="I9" i="4"/>
  <c r="D21" i="4" s="1"/>
  <c r="I10" i="4"/>
  <c r="D22" i="4" s="1"/>
  <c r="I11" i="4"/>
  <c r="D23" i="4" s="1"/>
  <c r="I12" i="4"/>
  <c r="D24" i="4" s="1"/>
  <c r="I6" i="4"/>
  <c r="D18" i="4" s="1"/>
  <c r="R22" i="6"/>
  <c r="R21" i="6"/>
  <c r="R20" i="6"/>
  <c r="R18" i="6"/>
  <c r="R24" i="4"/>
  <c r="R23" i="4"/>
  <c r="R20" i="4"/>
  <c r="R19" i="4"/>
  <c r="K18" i="6"/>
  <c r="K23" i="6"/>
  <c r="K22" i="6"/>
  <c r="K21" i="6"/>
  <c r="K23" i="4"/>
  <c r="K22" i="4"/>
  <c r="K21" i="4"/>
  <c r="K20" i="4"/>
  <c r="D23" i="6"/>
  <c r="D22" i="6"/>
  <c r="D21" i="6"/>
  <c r="D20" i="6"/>
  <c r="D19" i="6"/>
  <c r="D18" i="6"/>
  <c r="H19" i="1"/>
  <c r="X19" i="2"/>
  <c r="X20" i="2"/>
  <c r="X21" i="2"/>
  <c r="X22" i="2"/>
  <c r="X23" i="2"/>
  <c r="X24" i="2"/>
  <c r="X18" i="2"/>
  <c r="Q19" i="2"/>
  <c r="Q20" i="2"/>
  <c r="Q21" i="2"/>
  <c r="Q22" i="2"/>
  <c r="Q23" i="2"/>
  <c r="Q24" i="2"/>
  <c r="Q18" i="2"/>
  <c r="J19" i="2"/>
  <c r="J20" i="2"/>
  <c r="J21" i="2"/>
  <c r="J22" i="2"/>
  <c r="J23" i="2"/>
  <c r="J24" i="2"/>
  <c r="J18" i="2"/>
  <c r="U7" i="2"/>
  <c r="R19" i="2" s="1"/>
  <c r="U8" i="2"/>
  <c r="R20" i="2" s="1"/>
  <c r="U9" i="2"/>
  <c r="R21" i="2" s="1"/>
  <c r="U10" i="2"/>
  <c r="R22" i="2" s="1"/>
  <c r="U11" i="2"/>
  <c r="R23" i="2" s="1"/>
  <c r="U12" i="2"/>
  <c r="R24" i="2" s="1"/>
  <c r="U6" i="2"/>
  <c r="R18" i="2" s="1"/>
  <c r="O7" i="2"/>
  <c r="K19" i="2" s="1"/>
  <c r="O8" i="2"/>
  <c r="K20" i="2" s="1"/>
  <c r="O9" i="2"/>
  <c r="K21" i="2" s="1"/>
  <c r="O10" i="2"/>
  <c r="K22" i="2" s="1"/>
  <c r="O11" i="2"/>
  <c r="K23" i="2" s="1"/>
  <c r="O12" i="2"/>
  <c r="O6" i="2"/>
  <c r="K18" i="2" s="1"/>
  <c r="I7" i="2"/>
  <c r="D19" i="2" s="1"/>
  <c r="I8" i="2"/>
  <c r="D20" i="2" s="1"/>
  <c r="I9" i="2"/>
  <c r="D21" i="2" s="1"/>
  <c r="I10" i="2"/>
  <c r="D22" i="2" s="1"/>
  <c r="I11" i="2"/>
  <c r="D23" i="2" s="1"/>
  <c r="I12" i="2"/>
  <c r="D24" i="2" s="1"/>
  <c r="I6" i="2"/>
  <c r="D18" i="2" s="1"/>
  <c r="N19" i="1"/>
  <c r="M19" i="1"/>
  <c r="N24" i="1"/>
  <c r="M24" i="1"/>
  <c r="I24" i="1"/>
  <c r="H24" i="1"/>
  <c r="H7" i="1"/>
  <c r="M7" i="1"/>
  <c r="N7" i="1"/>
</calcChain>
</file>

<file path=xl/sharedStrings.xml><?xml version="1.0" encoding="utf-8"?>
<sst xmlns="http://schemas.openxmlformats.org/spreadsheetml/2006/main" count="194" uniqueCount="39">
  <si>
    <t>Hľadaná hodnota</t>
  </si>
  <si>
    <t>Na pozícii</t>
  </si>
  <si>
    <t>Počet porovnaní</t>
  </si>
  <si>
    <t>Priemerný počet porovnaní</t>
  </si>
  <si>
    <t>teoretická</t>
  </si>
  <si>
    <t>skutočná</t>
  </si>
  <si>
    <t>teoretický</t>
  </si>
  <si>
    <t>skutočný</t>
  </si>
  <si>
    <t>Bubble Sort</t>
  </si>
  <si>
    <t>Select Sort</t>
  </si>
  <si>
    <t>Insert Sort</t>
  </si>
  <si>
    <t>Linear Search O(N)</t>
  </si>
  <si>
    <r>
      <t>Binary Search O(log</t>
    </r>
    <r>
      <rPr>
        <b/>
        <sz val="10"/>
        <color theme="1"/>
        <rFont val="Calibri"/>
        <family val="2"/>
        <charset val="238"/>
        <scheme val="minor"/>
      </rPr>
      <t>(2)</t>
    </r>
    <r>
      <rPr>
        <b/>
        <sz val="16"/>
        <color theme="1"/>
        <rFont val="Calibri"/>
        <family val="2"/>
        <charset val="238"/>
        <scheme val="minor"/>
      </rPr>
      <t>N)</t>
    </r>
  </si>
  <si>
    <t>Quick Sort</t>
  </si>
  <si>
    <t>Insert Sort + Binary Search</t>
  </si>
  <si>
    <t>Počet priradení</t>
  </si>
  <si>
    <t>Algoritmus</t>
  </si>
  <si>
    <t>Výpočtová zložitosť</t>
  </si>
  <si>
    <t>Doba hľadania (ms)</t>
  </si>
  <si>
    <t>Priemerná doba hľadania(ms)</t>
  </si>
  <si>
    <t>Merge Sort</t>
  </si>
  <si>
    <t>Priemer</t>
  </si>
  <si>
    <t>Odhad</t>
  </si>
  <si>
    <t>Sada N1=</t>
  </si>
  <si>
    <t>Sada N2=</t>
  </si>
  <si>
    <t>Random</t>
  </si>
  <si>
    <t>Sada N=</t>
  </si>
  <si>
    <t>Radix Sort</t>
  </si>
  <si>
    <t>Random Up</t>
  </si>
  <si>
    <t>Random Down</t>
  </si>
  <si>
    <t>O(n^2)</t>
  </si>
  <si>
    <t>O(n log n)</t>
  </si>
  <si>
    <t>O(n*k)</t>
  </si>
  <si>
    <t>Linear Search</t>
  </si>
  <si>
    <t>Binary Search</t>
  </si>
  <si>
    <t>Priemer N₂</t>
  </si>
  <si>
    <t>Teoretický odhad</t>
  </si>
  <si>
    <t>Priemer N₁</t>
  </si>
  <si>
    <t>TreeSort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</si>
</sst>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31" xfId="0" applyBorder="1"/>
    <xf numFmtId="0" fontId="0" fillId="0" borderId="44" xfId="0" applyBorder="1"/>
    <xf numFmtId="0" fontId="0" fillId="0" borderId="40" xfId="0" applyBorder="1"/>
    <xf numFmtId="0" fontId="0" fillId="0" borderId="36" xfId="0" applyBorder="1"/>
    <xf numFmtId="0" fontId="0" fillId="0" borderId="2" xfId="0" applyBorder="1"/>
    <xf numFmtId="0" fontId="0" fillId="0" borderId="45" xfId="0" applyBorder="1"/>
    <xf numFmtId="0" fontId="0" fillId="0" borderId="46" xfId="0" applyBorder="1"/>
    <xf numFmtId="0" fontId="0" fillId="0" borderId="37" xfId="0" applyBorder="1"/>
    <xf numFmtId="0" fontId="0" fillId="0" borderId="51" xfId="0" applyBorder="1"/>
    <xf numFmtId="0" fontId="0" fillId="0" borderId="32" xfId="0" applyBorder="1"/>
    <xf numFmtId="0" fontId="0" fillId="0" borderId="8" xfId="0" applyBorder="1"/>
    <xf numFmtId="0" fontId="0" fillId="0" borderId="38" xfId="0" applyBorder="1"/>
    <xf numFmtId="0" fontId="0" fillId="0" borderId="52" xfId="0" applyBorder="1"/>
    <xf numFmtId="0" fontId="0" fillId="0" borderId="43" xfId="0" applyBorder="1"/>
    <xf numFmtId="0" fontId="0" fillId="0" borderId="53" xfId="0" applyBorder="1"/>
    <xf numFmtId="0" fontId="0" fillId="0" borderId="25" xfId="0" applyBorder="1"/>
    <xf numFmtId="0" fontId="0" fillId="0" borderId="26" xfId="0" applyBorder="1"/>
    <xf numFmtId="0" fontId="8" fillId="0" borderId="0" xfId="0" applyFont="1"/>
    <xf numFmtId="0" fontId="1" fillId="0" borderId="2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0" fillId="0" borderId="9" xfId="0" applyBorder="1"/>
    <xf numFmtId="0" fontId="0" fillId="0" borderId="11" xfId="0" applyBorder="1"/>
    <xf numFmtId="0" fontId="0" fillId="0" borderId="39" xfId="0" applyBorder="1"/>
    <xf numFmtId="0" fontId="0" fillId="0" borderId="59" xfId="0" applyBorder="1"/>
    <xf numFmtId="0" fontId="0" fillId="0" borderId="30" xfId="0" applyBorder="1"/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0" fillId="0" borderId="27" xfId="0" applyBorder="1"/>
    <xf numFmtId="0" fontId="0" fillId="0" borderId="29" xfId="0" applyBorder="1"/>
    <xf numFmtId="0" fontId="9" fillId="0" borderId="4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" fillId="0" borderId="27" xfId="0" applyFont="1" applyBorder="1"/>
    <xf numFmtId="0" fontId="9" fillId="0" borderId="50" xfId="0" applyFont="1" applyBorder="1" applyAlignment="1">
      <alignment horizontal="center"/>
    </xf>
    <xf numFmtId="0" fontId="0" fillId="0" borderId="63" xfId="0" applyBorder="1"/>
    <xf numFmtId="0" fontId="3" fillId="0" borderId="15" xfId="0" applyFont="1" applyBorder="1"/>
    <xf numFmtId="0" fontId="3" fillId="0" borderId="17" xfId="0" applyFont="1" applyBorder="1"/>
    <xf numFmtId="0" fontId="9" fillId="0" borderId="58" xfId="0" applyFont="1" applyBorder="1" applyAlignment="1">
      <alignment horizontal="center"/>
    </xf>
    <xf numFmtId="0" fontId="4" fillId="0" borderId="6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0" fillId="0" borderId="14" xfId="0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13" xfId="0" applyBorder="1"/>
    <xf numFmtId="0" fontId="0" fillId="0" borderId="6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8" xfId="0" applyBorder="1" applyAlignment="1">
      <alignment horizontal="center"/>
    </xf>
    <xf numFmtId="0" fontId="3" fillId="0" borderId="65" xfId="0" applyFont="1" applyBorder="1"/>
    <xf numFmtId="0" fontId="9" fillId="0" borderId="54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0" fillId="0" borderId="65" xfId="0" applyBorder="1"/>
    <xf numFmtId="0" fontId="10" fillId="0" borderId="0" xfId="0" applyFont="1"/>
    <xf numFmtId="0" fontId="3" fillId="0" borderId="67" xfId="0" applyFont="1" applyBorder="1"/>
    <xf numFmtId="0" fontId="9" fillId="0" borderId="4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2" fillId="0" borderId="21" xfId="0" applyFont="1" applyBorder="1" applyAlignment="1">
      <alignment horizontal="center" vertical="center" textRotation="90"/>
    </xf>
    <xf numFmtId="0" fontId="2" fillId="0" borderId="66" xfId="0" applyFont="1" applyBorder="1" applyAlignment="1">
      <alignment horizontal="center" vertical="center" textRotation="90"/>
    </xf>
    <xf numFmtId="3" fontId="2" fillId="0" borderId="28" xfId="0" applyNumberFormat="1" applyFont="1" applyBorder="1" applyAlignment="1">
      <alignment horizontal="center" vertical="center" textRotation="90"/>
    </xf>
    <xf numFmtId="3" fontId="2" fillId="0" borderId="21" xfId="0" applyNumberFormat="1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Search!$I$22</c:f>
              <c:strCache>
                <c:ptCount val="1"/>
                <c:pt idx="0">
                  <c:v>skutočný</c:v>
                </c:pt>
              </c:strCache>
            </c:strRef>
          </c:cat>
          <c:val>
            <c:numRef>
              <c:f>Search!$I$23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34F-D94E-B75B-F5485D1D05F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Search!$I$22</c:f>
              <c:strCache>
                <c:ptCount val="1"/>
                <c:pt idx="0">
                  <c:v>skutočný</c:v>
                </c:pt>
              </c:strCache>
            </c:strRef>
          </c:cat>
          <c:val>
            <c:numRef>
              <c:f>Search!$I$24</c:f>
              <c:numCache>
                <c:formatCode>General</c:formatCode>
                <c:ptCount val="1"/>
                <c:pt idx="0">
                  <c:v>56893406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4F-D94E-B75B-F5485D1D05F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Search!$I$22</c:f>
              <c:strCache>
                <c:ptCount val="1"/>
                <c:pt idx="0">
                  <c:v>skutočný</c:v>
                </c:pt>
              </c:strCache>
            </c:strRef>
          </c:cat>
          <c:val>
            <c:numRef>
              <c:f>Search!$I$25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634F-D94E-B75B-F5485D1D05F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Search!$I$22</c:f>
              <c:strCache>
                <c:ptCount val="1"/>
                <c:pt idx="0">
                  <c:v>skutočný</c:v>
                </c:pt>
              </c:strCache>
            </c:strRef>
          </c:cat>
          <c:val>
            <c:numRef>
              <c:f>Search!$I$26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634F-D94E-B75B-F5485D1D05F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634F-D94E-B75B-F5485D1D0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274944"/>
        <c:axId val="421768127"/>
      </c:barChart>
      <c:catAx>
        <c:axId val="209227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768127"/>
        <c:crosses val="autoZero"/>
        <c:auto val="1"/>
        <c:lblAlgn val="ctr"/>
        <c:lblOffset val="100"/>
        <c:noMultiLvlLbl val="0"/>
      </c:catAx>
      <c:valAx>
        <c:axId val="42176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27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Časy sortovania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681913612407851E-2"/>
          <c:y val="0.13592545508349432"/>
          <c:w val="0.86487510936132983"/>
          <c:h val="0.6150681685622631"/>
        </c:manualLayout>
      </c:layout>
      <c:barChart>
        <c:barDir val="col"/>
        <c:grouping val="clustered"/>
        <c:varyColors val="0"/>
        <c:ser>
          <c:idx val="0"/>
          <c:order val="0"/>
          <c:tx>
            <c:v>Priemer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data'!$I$6:$I$12</c:f>
              <c:numCache>
                <c:formatCode>General</c:formatCode>
                <c:ptCount val="7"/>
                <c:pt idx="0">
                  <c:v>2949.4396000000002</c:v>
                </c:pt>
                <c:pt idx="1">
                  <c:v>1358.9641999999999</c:v>
                </c:pt>
                <c:pt idx="2">
                  <c:v>1404.9263999999998</c:v>
                </c:pt>
                <c:pt idx="3">
                  <c:v>105.20140000000001</c:v>
                </c:pt>
                <c:pt idx="4">
                  <c:v>8.3807999999999989</c:v>
                </c:pt>
                <c:pt idx="5">
                  <c:v>13.104400000000002</c:v>
                </c:pt>
                <c:pt idx="6">
                  <c:v>8.8780000000000001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3-D743-AA4D-6FA0126ED981}"/>
            </c:ext>
          </c:extLst>
        </c:ser>
        <c:ser>
          <c:idx val="1"/>
          <c:order val="1"/>
          <c:tx>
            <c:v>Odhad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data'!$D$18:$D$24</c:f>
              <c:numCache>
                <c:formatCode>General</c:formatCode>
                <c:ptCount val="7"/>
                <c:pt idx="0">
                  <c:v>11797.758400000001</c:v>
                </c:pt>
                <c:pt idx="1">
                  <c:v>5435.8567999999996</c:v>
                </c:pt>
                <c:pt idx="2">
                  <c:v>5619.7055999999993</c:v>
                </c:pt>
                <c:pt idx="3">
                  <c:v>226.2371884929224</c:v>
                </c:pt>
                <c:pt idx="4">
                  <c:v>18.023036093830346</c:v>
                </c:pt>
                <c:pt idx="5">
                  <c:v>28.181208737589543</c:v>
                </c:pt>
                <c:pt idx="6">
                  <c:v>19.092272150752414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3-D743-AA4D-6FA0126ED981}"/>
            </c:ext>
          </c:extLst>
        </c:ser>
        <c:ser>
          <c:idx val="2"/>
          <c:order val="2"/>
          <c:tx>
            <c:v>Priemer N2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data'!$J$18:$J$24</c:f>
              <c:numCache>
                <c:formatCode>General</c:formatCode>
                <c:ptCount val="7"/>
                <c:pt idx="0">
                  <c:v>12148.248000000001</c:v>
                </c:pt>
                <c:pt idx="1">
                  <c:v>5483.2960000000003</c:v>
                </c:pt>
                <c:pt idx="2">
                  <c:v>5694.6831999999995</c:v>
                </c:pt>
                <c:pt idx="3">
                  <c:v>441.05039999999997</c:v>
                </c:pt>
                <c:pt idx="4">
                  <c:v>16.864800000000002</c:v>
                </c:pt>
                <c:pt idx="5">
                  <c:v>27.847400000000004</c:v>
                </c:pt>
                <c:pt idx="6">
                  <c:v>17.593399999999995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3-D743-AA4D-6FA0126ED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830847"/>
        <c:axId val="941820991"/>
      </c:barChart>
      <c:catAx>
        <c:axId val="94183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20991"/>
        <c:crosses val="autoZero"/>
        <c:auto val="1"/>
        <c:lblAlgn val="ctr"/>
        <c:lblOffset val="100"/>
        <c:noMultiLvlLbl val="0"/>
      </c:catAx>
      <c:valAx>
        <c:axId val="9418209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3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 porovnani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Premer N1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24973198.800000001</c:v>
                </c:pt>
                <c:pt idx="3">
                  <c:v>116578.4</c:v>
                </c:pt>
                <c:pt idx="4">
                  <c:v>158335.6</c:v>
                </c:pt>
                <c:pt idx="5">
                  <c:v>120468.8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8-864E-A3D8-1C85FB8AD401}"/>
            </c:ext>
          </c:extLst>
        </c:ser>
        <c:ser>
          <c:idx val="1"/>
          <c:order val="1"/>
          <c:tx>
            <c:v>Odhad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data'!$K$18:$K$24</c:f>
              <c:numCache>
                <c:formatCode>General</c:formatCode>
                <c:ptCount val="7"/>
                <c:pt idx="0">
                  <c:v>199980000</c:v>
                </c:pt>
                <c:pt idx="1">
                  <c:v>199980000</c:v>
                </c:pt>
                <c:pt idx="2">
                  <c:v>99892795.200000003</c:v>
                </c:pt>
                <c:pt idx="3">
                  <c:v>250703.59762325694</c:v>
                </c:pt>
                <c:pt idx="4">
                  <c:v>340503.08249072696</c:v>
                </c:pt>
                <c:pt idx="5">
                  <c:v>259069.96117082253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8-864E-A3D8-1C85FB8AD401}"/>
            </c:ext>
          </c:extLst>
        </c:ser>
        <c:ser>
          <c:idx val="2"/>
          <c:order val="2"/>
          <c:tx>
            <c:v>Premer N2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100299766.59999999</c:v>
                </c:pt>
                <c:pt idx="3">
                  <c:v>248325.4</c:v>
                </c:pt>
                <c:pt idx="4">
                  <c:v>329508.40000000002</c:v>
                </c:pt>
                <c:pt idx="5">
                  <c:v>260930.4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8-864E-A3D8-1C85FB8AD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712063"/>
        <c:axId val="450084159"/>
      </c:barChart>
      <c:catAx>
        <c:axId val="42671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84159"/>
        <c:crosses val="autoZero"/>
        <c:auto val="1"/>
        <c:lblAlgn val="ctr"/>
        <c:lblOffset val="100"/>
        <c:noMultiLvlLbl val="0"/>
      </c:catAx>
      <c:valAx>
        <c:axId val="4500841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1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</a:t>
            </a:r>
            <a:r>
              <a:rPr lang="en-US" baseline="0"/>
              <a:t> priradeni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Premer N1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data'!$U$6:$U$12</c:f>
              <c:numCache>
                <c:formatCode>General</c:formatCode>
                <c:ptCount val="7"/>
                <c:pt idx="0">
                  <c:v>74985366.599999994</c:v>
                </c:pt>
                <c:pt idx="1">
                  <c:v>30000</c:v>
                </c:pt>
                <c:pt idx="2">
                  <c:v>24983197.800000001</c:v>
                </c:pt>
                <c:pt idx="3">
                  <c:v>25219781.399999999</c:v>
                </c:pt>
                <c:pt idx="4">
                  <c:v>163913.79999999999</c:v>
                </c:pt>
                <c:pt idx="5">
                  <c:v>133616</c:v>
                </c:pt>
                <c:pt idx="6">
                  <c:v>200045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0-E84A-98CA-7A554F461926}"/>
            </c:ext>
          </c:extLst>
        </c:ser>
        <c:ser>
          <c:idx val="1"/>
          <c:order val="1"/>
          <c:tx>
            <c:v>Odhad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data'!$R$18:$R$24</c:f>
              <c:numCache>
                <c:formatCode>General</c:formatCode>
                <c:ptCount val="7"/>
                <c:pt idx="0">
                  <c:v>299941466.39999998</c:v>
                </c:pt>
                <c:pt idx="1">
                  <c:v>60000</c:v>
                </c:pt>
                <c:pt idx="2">
                  <c:v>99932791.200000003</c:v>
                </c:pt>
                <c:pt idx="3">
                  <c:v>100879125.59999999</c:v>
                </c:pt>
                <c:pt idx="4">
                  <c:v>352499.08525163331</c:v>
                </c:pt>
                <c:pt idx="5">
                  <c:v>287343.21195031924</c:v>
                </c:pt>
                <c:pt idx="6">
                  <c:v>400090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0-E84A-98CA-7A554F461926}"/>
            </c:ext>
          </c:extLst>
        </c:ser>
        <c:ser>
          <c:idx val="2"/>
          <c:order val="2"/>
          <c:tx>
            <c:v>Premer N2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data'!$X$18:$X$24</c:f>
              <c:numCache>
                <c:formatCode>General</c:formatCode>
                <c:ptCount val="7"/>
                <c:pt idx="0">
                  <c:v>300520221</c:v>
                </c:pt>
                <c:pt idx="1">
                  <c:v>199990000</c:v>
                </c:pt>
                <c:pt idx="2">
                  <c:v>100319765.59999999</c:v>
                </c:pt>
                <c:pt idx="3">
                  <c:v>99796821.799999997</c:v>
                </c:pt>
                <c:pt idx="4">
                  <c:v>339038.2</c:v>
                </c:pt>
                <c:pt idx="5">
                  <c:v>287232</c:v>
                </c:pt>
                <c:pt idx="6">
                  <c:v>400045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0-E84A-98CA-7A554F461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129151"/>
        <c:axId val="421128255"/>
      </c:barChart>
      <c:catAx>
        <c:axId val="4211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28255"/>
        <c:crosses val="autoZero"/>
        <c:auto val="1"/>
        <c:lblAlgn val="ctr"/>
        <c:lblOffset val="100"/>
        <c:noMultiLvlLbl val="0"/>
      </c:catAx>
      <c:valAx>
        <c:axId val="4211282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Doba</a:t>
            </a:r>
            <a:r>
              <a:rPr lang="en-US" baseline="0"/>
              <a:t> Hladania (kolisave up)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rastúce data'!$I$5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data'!$I$6:$I$12</c:f>
              <c:numCache>
                <c:formatCode>General</c:formatCode>
                <c:ptCount val="7"/>
                <c:pt idx="0">
                  <c:v>3797.1733999999997</c:v>
                </c:pt>
                <c:pt idx="1">
                  <c:v>1462.3085999999998</c:v>
                </c:pt>
                <c:pt idx="2">
                  <c:v>2834.8573999999999</c:v>
                </c:pt>
                <c:pt idx="3">
                  <c:v>193.5986</c:v>
                </c:pt>
                <c:pt idx="4">
                  <c:v>6.5407999999999999</c:v>
                </c:pt>
                <c:pt idx="5">
                  <c:v>9.1898</c:v>
                </c:pt>
                <c:pt idx="6">
                  <c:v>11.5672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8-FE46-ACD5-6E5A9E7FF54F}"/>
            </c:ext>
          </c:extLst>
        </c:ser>
        <c:ser>
          <c:idx val="1"/>
          <c:order val="1"/>
          <c:tx>
            <c:strRef>
              <c:f>'Sort kolísavo rastúce data'!$D$17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data'!$D$18:$D$24</c:f>
              <c:numCache>
                <c:formatCode>General</c:formatCode>
                <c:ptCount val="7"/>
                <c:pt idx="0">
                  <c:v>15188.693599999999</c:v>
                </c:pt>
                <c:pt idx="1">
                  <c:v>5849.2343999999994</c:v>
                </c:pt>
                <c:pt idx="2">
                  <c:v>11339.429599999999</c:v>
                </c:pt>
                <c:pt idx="3">
                  <c:v>416.33669285927641</c:v>
                </c:pt>
                <c:pt idx="4">
                  <c:v>14.066088497819484</c:v>
                </c:pt>
                <c:pt idx="5">
                  <c:v>19.762802727076426</c:v>
                </c:pt>
                <c:pt idx="6">
                  <c:v>24.8754370829222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8-FE46-ACD5-6E5A9E7FF54F}"/>
            </c:ext>
          </c:extLst>
        </c:ser>
        <c:ser>
          <c:idx val="2"/>
          <c:order val="2"/>
          <c:tx>
            <c:strRef>
              <c:f>'Sort kolísavo rastúce data'!$J$17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data'!$J$18:$J$24</c:f>
              <c:numCache>
                <c:formatCode>General</c:formatCode>
                <c:ptCount val="7"/>
                <c:pt idx="0">
                  <c:v>15149.837600000003</c:v>
                </c:pt>
                <c:pt idx="1">
                  <c:v>5784.5473999999995</c:v>
                </c:pt>
                <c:pt idx="2">
                  <c:v>11194.372399999998</c:v>
                </c:pt>
                <c:pt idx="3">
                  <c:v>782.08400000000006</c:v>
                </c:pt>
                <c:pt idx="4">
                  <c:v>13.106</c:v>
                </c:pt>
                <c:pt idx="5">
                  <c:v>18.384</c:v>
                </c:pt>
                <c:pt idx="6">
                  <c:v>21.363999999999997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98-FE46-ACD5-6E5A9E7FF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24063"/>
        <c:axId val="419619583"/>
      </c:barChart>
      <c:catAx>
        <c:axId val="41962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19583"/>
        <c:crosses val="autoZero"/>
        <c:auto val="1"/>
        <c:lblAlgn val="ctr"/>
        <c:lblOffset val="100"/>
        <c:noMultiLvlLbl val="0"/>
      </c:catAx>
      <c:valAx>
        <c:axId val="4196195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2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</a:t>
            </a:r>
            <a:r>
              <a:rPr lang="en-US" baseline="0"/>
              <a:t> porovnani (kolisave up)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rastúce data'!$O$5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50001889.200000003</c:v>
                </c:pt>
                <c:pt idx="3">
                  <c:v>114266</c:v>
                </c:pt>
                <c:pt idx="4">
                  <c:v>119602.4</c:v>
                </c:pt>
                <c:pt idx="5">
                  <c:v>69879.399999999994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1-194F-8D35-BDEAF459F48C}"/>
            </c:ext>
          </c:extLst>
        </c:ser>
        <c:ser>
          <c:idx val="1"/>
          <c:order val="1"/>
          <c:tx>
            <c:strRef>
              <c:f>'Sort kolísavo rastúce data'!$K$17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data'!$K$18:$K$24</c:f>
              <c:numCache>
                <c:formatCode>General</c:formatCode>
                <c:ptCount val="7"/>
                <c:pt idx="0">
                  <c:v>199980000</c:v>
                </c:pt>
                <c:pt idx="1">
                  <c:v>199980000</c:v>
                </c:pt>
                <c:pt idx="2">
                  <c:v>200007556.80000001</c:v>
                </c:pt>
                <c:pt idx="3">
                  <c:v>245730.74674227025</c:v>
                </c:pt>
                <c:pt idx="4">
                  <c:v>257206.75497670087</c:v>
                </c:pt>
                <c:pt idx="5">
                  <c:v>150276.69773950079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1-194F-8D35-BDEAF459F48C}"/>
            </c:ext>
          </c:extLst>
        </c:ser>
        <c:ser>
          <c:idx val="2"/>
          <c:order val="2"/>
          <c:tx>
            <c:strRef>
              <c:f>'Sort kolísavo rastúce data'!$Q$17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200003813</c:v>
                </c:pt>
                <c:pt idx="3">
                  <c:v>248532</c:v>
                </c:pt>
                <c:pt idx="4">
                  <c:v>259033</c:v>
                </c:pt>
                <c:pt idx="5">
                  <c:v>149803.79999999999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41-194F-8D35-BDEAF459F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834367"/>
        <c:axId val="421228799"/>
      </c:barChart>
      <c:catAx>
        <c:axId val="42683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28799"/>
        <c:crosses val="autoZero"/>
        <c:auto val="1"/>
        <c:lblAlgn val="ctr"/>
        <c:lblOffset val="100"/>
        <c:noMultiLvlLbl val="0"/>
      </c:catAx>
      <c:valAx>
        <c:axId val="4212287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 priradeni (kolisave up)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rastúce data'!$U$5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data'!$U$6:$U$12</c:f>
              <c:numCache>
                <c:formatCode>General</c:formatCode>
                <c:ptCount val="7"/>
                <c:pt idx="0">
                  <c:v>149975756.40000001</c:v>
                </c:pt>
                <c:pt idx="1">
                  <c:v>30000</c:v>
                </c:pt>
                <c:pt idx="2">
                  <c:v>50011888.200000003</c:v>
                </c:pt>
                <c:pt idx="3">
                  <c:v>50011916.600000001</c:v>
                </c:pt>
                <c:pt idx="4">
                  <c:v>125479.8</c:v>
                </c:pt>
                <c:pt idx="5">
                  <c:v>133616</c:v>
                </c:pt>
                <c:pt idx="6">
                  <c:v>232052.2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6-DC43-A2FE-0A7B7A0DC93E}"/>
            </c:ext>
          </c:extLst>
        </c:ser>
        <c:ser>
          <c:idx val="1"/>
          <c:order val="1"/>
          <c:tx>
            <c:strRef>
              <c:f>'Sort kolísavo rastúce data'!$R$17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data'!$R$18:$R$24</c:f>
              <c:numCache>
                <c:formatCode>General</c:formatCode>
                <c:ptCount val="7"/>
                <c:pt idx="0">
                  <c:v>599903025.60000002</c:v>
                </c:pt>
                <c:pt idx="1">
                  <c:v>60000</c:v>
                </c:pt>
                <c:pt idx="2">
                  <c:v>200047552.80000001</c:v>
                </c:pt>
                <c:pt idx="3">
                  <c:v>200047666.40000001</c:v>
                </c:pt>
                <c:pt idx="4">
                  <c:v>269846.1918249586</c:v>
                </c:pt>
                <c:pt idx="5">
                  <c:v>287343.21195031924</c:v>
                </c:pt>
                <c:pt idx="6">
                  <c:v>464104.4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6-DC43-A2FE-0A7B7A0DC93E}"/>
            </c:ext>
          </c:extLst>
        </c:ser>
        <c:ser>
          <c:idx val="2"/>
          <c:order val="2"/>
          <c:tx>
            <c:strRef>
              <c:f>'Sort kolísavo rastúce data'!$X$17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data'!$X$18:$X$24</c:f>
              <c:numCache>
                <c:formatCode>General</c:formatCode>
                <c:ptCount val="7"/>
                <c:pt idx="0">
                  <c:v>599951314.79999995</c:v>
                </c:pt>
                <c:pt idx="1">
                  <c:v>60000</c:v>
                </c:pt>
                <c:pt idx="2">
                  <c:v>200023812</c:v>
                </c:pt>
                <c:pt idx="3">
                  <c:v>200023752.80000001</c:v>
                </c:pt>
                <c:pt idx="4">
                  <c:v>270762.2</c:v>
                </c:pt>
                <c:pt idx="5">
                  <c:v>287232</c:v>
                </c:pt>
                <c:pt idx="6">
                  <c:v>480054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86-DC43-A2FE-0A7B7A0DC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724799"/>
        <c:axId val="400727935"/>
      </c:barChart>
      <c:catAx>
        <c:axId val="40072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27935"/>
        <c:crosses val="autoZero"/>
        <c:auto val="1"/>
        <c:lblAlgn val="ctr"/>
        <c:lblOffset val="100"/>
        <c:noMultiLvlLbl val="0"/>
      </c:catAx>
      <c:valAx>
        <c:axId val="4007279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2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Doba</a:t>
            </a:r>
            <a:r>
              <a:rPr lang="en-US" baseline="0"/>
              <a:t> hladania (kolisavo down)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klesajúce data'!$I$5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data'!$I$6:$I$12</c:f>
              <c:numCache>
                <c:formatCode>General</c:formatCode>
                <c:ptCount val="7"/>
                <c:pt idx="0">
                  <c:v>2001.1536000000001</c:v>
                </c:pt>
                <c:pt idx="1">
                  <c:v>1318.1306</c:v>
                </c:pt>
                <c:pt idx="2">
                  <c:v>286.33920000000001</c:v>
                </c:pt>
                <c:pt idx="3">
                  <c:v>65.346000000000004</c:v>
                </c:pt>
                <c:pt idx="4">
                  <c:v>1.9928000000000003</c:v>
                </c:pt>
                <c:pt idx="5">
                  <c:v>9.5817999999999994</c:v>
                </c:pt>
                <c:pt idx="6">
                  <c:v>8.988999999999999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E-B042-A127-77AD59DB1C27}"/>
            </c:ext>
          </c:extLst>
        </c:ser>
        <c:ser>
          <c:idx val="1"/>
          <c:order val="1"/>
          <c:tx>
            <c:strRef>
              <c:f>'Sort kolísavo klesajúce data'!$D$17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data'!$D$18:$D$24</c:f>
              <c:numCache>
                <c:formatCode>General</c:formatCode>
                <c:ptCount val="7"/>
                <c:pt idx="0">
                  <c:v>8004.6144000000004</c:v>
                </c:pt>
                <c:pt idx="1">
                  <c:v>5272.5223999999998</c:v>
                </c:pt>
                <c:pt idx="2">
                  <c:v>1145.3568</c:v>
                </c:pt>
                <c:pt idx="3">
                  <c:v>140.52755304832928</c:v>
                </c:pt>
                <c:pt idx="4">
                  <c:v>4.2855462876795913</c:v>
                </c:pt>
                <c:pt idx="5">
                  <c:v>20.605804606226567</c:v>
                </c:pt>
                <c:pt idx="6">
                  <c:v>19.330979315511762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E-B042-A127-77AD59DB1C27}"/>
            </c:ext>
          </c:extLst>
        </c:ser>
        <c:ser>
          <c:idx val="2"/>
          <c:order val="2"/>
          <c:tx>
            <c:strRef>
              <c:f>'Sort kolísavo klesajúce data'!$J$17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data'!$J$18:$J$24</c:f>
              <c:numCache>
                <c:formatCode>General</c:formatCode>
                <c:ptCount val="7"/>
                <c:pt idx="0">
                  <c:v>8632.5648000000019</c:v>
                </c:pt>
                <c:pt idx="1">
                  <c:v>5349.7087999999994</c:v>
                </c:pt>
                <c:pt idx="2">
                  <c:v>1481.2149999999999</c:v>
                </c:pt>
                <c:pt idx="3">
                  <c:v>243.8554</c:v>
                </c:pt>
                <c:pt idx="4">
                  <c:v>2.6596000000000002</c:v>
                </c:pt>
                <c:pt idx="5">
                  <c:v>19.863800000000001</c:v>
                </c:pt>
                <c:pt idx="6">
                  <c:v>17.052399999999999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8E-B042-A127-77AD59DB1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934271"/>
        <c:axId val="394920831"/>
      </c:barChart>
      <c:catAx>
        <c:axId val="3949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20831"/>
        <c:crosses val="autoZero"/>
        <c:auto val="1"/>
        <c:lblAlgn val="ctr"/>
        <c:lblOffset val="100"/>
        <c:noMultiLvlLbl val="0"/>
      </c:catAx>
      <c:valAx>
        <c:axId val="3949208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3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</a:t>
            </a:r>
            <a:r>
              <a:rPr lang="en-US" baseline="0"/>
              <a:t>t porovnani (kolisavo down)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klesajúce data'!$O$5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5293730.8</c:v>
                </c:pt>
                <c:pt idx="3">
                  <c:v>37788</c:v>
                </c:pt>
                <c:pt idx="4">
                  <c:v>39664.400000000001</c:v>
                </c:pt>
                <c:pt idx="5">
                  <c:v>80374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7-724D-8F57-02D2CE985099}"/>
            </c:ext>
          </c:extLst>
        </c:ser>
        <c:ser>
          <c:idx val="1"/>
          <c:order val="1"/>
          <c:tx>
            <c:strRef>
              <c:f>'Sort kolísavo klesajúce data'!$K$17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data'!$K$18:$K$24</c:f>
              <c:numCache>
                <c:formatCode>General</c:formatCode>
                <c:ptCount val="7"/>
                <c:pt idx="0">
                  <c:v>199990000</c:v>
                </c:pt>
                <c:pt idx="1">
                  <c:v>199980000</c:v>
                </c:pt>
                <c:pt idx="2">
                  <c:v>21174923.199999999</c:v>
                </c:pt>
                <c:pt idx="3">
                  <c:v>81263.660738075268</c:v>
                </c:pt>
                <c:pt idx="4">
                  <c:v>85298.887080007218</c:v>
                </c:pt>
                <c:pt idx="5">
                  <c:v>172845.49243574843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7-724D-8F57-02D2CE985099}"/>
            </c:ext>
          </c:extLst>
        </c:ser>
        <c:ser>
          <c:idx val="2"/>
          <c:order val="2"/>
          <c:tx>
            <c:strRef>
              <c:f>'Sort kolísavo klesajúce data'!$Q$17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26537227.199999999</c:v>
                </c:pt>
                <c:pt idx="3">
                  <c:v>54635.6</c:v>
                </c:pt>
                <c:pt idx="4">
                  <c:v>59551.6</c:v>
                </c:pt>
                <c:pt idx="5">
                  <c:v>173008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7-724D-8F57-02D2CE985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87839"/>
        <c:axId val="400804031"/>
      </c:barChart>
      <c:catAx>
        <c:axId val="45038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804031"/>
        <c:crosses val="autoZero"/>
        <c:auto val="1"/>
        <c:lblAlgn val="ctr"/>
        <c:lblOffset val="100"/>
        <c:noMultiLvlLbl val="0"/>
      </c:catAx>
      <c:valAx>
        <c:axId val="4008040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</a:t>
            </a:r>
            <a:r>
              <a:rPr lang="en-US" baseline="0"/>
              <a:t> priradeni (kolisavo down)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klesajúce data'!$U$5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data'!$U$6:$U$12</c:f>
              <c:numCache>
                <c:formatCode>General</c:formatCode>
                <c:ptCount val="7"/>
                <c:pt idx="0">
                  <c:v>15611943</c:v>
                </c:pt>
                <c:pt idx="1">
                  <c:v>30000</c:v>
                </c:pt>
                <c:pt idx="2">
                  <c:v>5303729.8</c:v>
                </c:pt>
                <c:pt idx="3">
                  <c:v>22488540.800000001</c:v>
                </c:pt>
                <c:pt idx="4">
                  <c:v>40865.199999999997</c:v>
                </c:pt>
                <c:pt idx="5">
                  <c:v>133616</c:v>
                </c:pt>
                <c:pt idx="6">
                  <c:v>200045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9-2E4D-82B8-529FBABB5FBC}"/>
            </c:ext>
          </c:extLst>
        </c:ser>
        <c:ser>
          <c:idx val="1"/>
          <c:order val="1"/>
          <c:tx>
            <c:strRef>
              <c:f>'Sort kolísavo klesajúce data'!$R$17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data'!$R$18:$R$24</c:f>
              <c:numCache>
                <c:formatCode>General</c:formatCode>
                <c:ptCount val="7"/>
                <c:pt idx="0">
                  <c:v>199990000</c:v>
                </c:pt>
                <c:pt idx="1">
                  <c:v>60000</c:v>
                </c:pt>
                <c:pt idx="2">
                  <c:v>21214919.199999999</c:v>
                </c:pt>
                <c:pt idx="3">
                  <c:v>89954163.200000003</c:v>
                </c:pt>
                <c:pt idx="4">
                  <c:v>87881.225489403863</c:v>
                </c:pt>
                <c:pt idx="5">
                  <c:v>287343.21195031924</c:v>
                </c:pt>
                <c:pt idx="6">
                  <c:v>400090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9-2E4D-82B8-529FBABB5FBC}"/>
            </c:ext>
          </c:extLst>
        </c:ser>
        <c:ser>
          <c:idx val="2"/>
          <c:order val="2"/>
          <c:tx>
            <c:strRef>
              <c:f>'Sort kolísavo klesajúce data'!$X$17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data'!$X$18:$X$24</c:f>
              <c:numCache>
                <c:formatCode>General</c:formatCode>
                <c:ptCount val="7"/>
                <c:pt idx="0">
                  <c:v>78610916.400000006</c:v>
                </c:pt>
                <c:pt idx="1">
                  <c:v>60000</c:v>
                </c:pt>
                <c:pt idx="2">
                  <c:v>20957226.199999999</c:v>
                </c:pt>
                <c:pt idx="3">
                  <c:v>72412095.400000006</c:v>
                </c:pt>
                <c:pt idx="4">
                  <c:v>60750.400000000001</c:v>
                </c:pt>
                <c:pt idx="5">
                  <c:v>287232</c:v>
                </c:pt>
                <c:pt idx="6">
                  <c:v>400045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09-2E4D-82B8-529FBABB5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096831"/>
        <c:axId val="2098515904"/>
      </c:barChart>
      <c:catAx>
        <c:axId val="4210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5904"/>
        <c:crosses val="autoZero"/>
        <c:auto val="1"/>
        <c:lblAlgn val="ctr"/>
        <c:lblOffset val="100"/>
        <c:noMultiLvlLbl val="0"/>
      </c:catAx>
      <c:valAx>
        <c:axId val="2098515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0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  <a:r>
              <a:rPr lang="en-US" baseline="0"/>
              <a:t> vs Binary Search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Grafy!$B$8</c:f>
              <c:strCache>
                <c:ptCount val="1"/>
                <c:pt idx="0">
                  <c:v>Linear Search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Grafy!$C$7:$E$7</c:f>
              <c:strCache>
                <c:ptCount val="3"/>
                <c:pt idx="0">
                  <c:v>Priemer N₁</c:v>
                </c:pt>
                <c:pt idx="1">
                  <c:v>Teoretický odhad</c:v>
                </c:pt>
                <c:pt idx="2">
                  <c:v>Priemer N₂</c:v>
                </c:pt>
              </c:strCache>
            </c:strRef>
          </c:cat>
          <c:val>
            <c:numRef>
              <c:f>Grafy!$C$8:$E$8</c:f>
              <c:numCache>
                <c:formatCode>General</c:formatCode>
                <c:ptCount val="3"/>
                <c:pt idx="0">
                  <c:v>5130934</c:v>
                </c:pt>
                <c:pt idx="1">
                  <c:v>51309340</c:v>
                </c:pt>
                <c:pt idx="2">
                  <c:v>56893406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8-FA4D-BBC3-C7348D4C6923}"/>
            </c:ext>
          </c:extLst>
        </c:ser>
        <c:ser>
          <c:idx val="1"/>
          <c:order val="1"/>
          <c:tx>
            <c:strRef>
              <c:f>Grafy!$B$9</c:f>
              <c:strCache>
                <c:ptCount val="1"/>
                <c:pt idx="0">
                  <c:v>Binary Search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Grafy!$C$7:$E$7</c:f>
              <c:strCache>
                <c:ptCount val="3"/>
                <c:pt idx="0">
                  <c:v>Priemer N₁</c:v>
                </c:pt>
                <c:pt idx="1">
                  <c:v>Teoretický odhad</c:v>
                </c:pt>
                <c:pt idx="2">
                  <c:v>Priemer N₂</c:v>
                </c:pt>
              </c:strCache>
            </c:strRef>
          </c:cat>
          <c:val>
            <c:numRef>
              <c:f>Grafy!$C$9:$E$9</c:f>
              <c:numCache>
                <c:formatCode>General</c:formatCode>
                <c:ptCount val="3"/>
                <c:pt idx="0">
                  <c:v>22.1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8-FA4D-BBC3-C7348D4C6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392191"/>
        <c:axId val="421395775"/>
      </c:barChart>
      <c:catAx>
        <c:axId val="42139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95775"/>
        <c:crosses val="autoZero"/>
        <c:auto val="1"/>
        <c:lblAlgn val="ctr"/>
        <c:lblOffset val="100"/>
        <c:noMultiLvlLbl val="0"/>
      </c:catAx>
      <c:valAx>
        <c:axId val="4213957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9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Časy sortovania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681913612407851E-2"/>
          <c:y val="0.13592545508349432"/>
          <c:w val="0.86487510936132983"/>
          <c:h val="0.6150681685622631"/>
        </c:manualLayout>
      </c:layout>
      <c:barChart>
        <c:barDir val="col"/>
        <c:grouping val="clustered"/>
        <c:varyColors val="0"/>
        <c:ser>
          <c:idx val="0"/>
          <c:order val="0"/>
          <c:tx>
            <c:v>Priemer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data'!$I$6:$I$12</c:f>
              <c:numCache>
                <c:formatCode>General</c:formatCode>
                <c:ptCount val="7"/>
                <c:pt idx="0">
                  <c:v>2949.4396000000002</c:v>
                </c:pt>
                <c:pt idx="1">
                  <c:v>1358.9641999999999</c:v>
                </c:pt>
                <c:pt idx="2">
                  <c:v>1404.9263999999998</c:v>
                </c:pt>
                <c:pt idx="3">
                  <c:v>105.20140000000001</c:v>
                </c:pt>
                <c:pt idx="4">
                  <c:v>8.3807999999999989</c:v>
                </c:pt>
                <c:pt idx="5">
                  <c:v>13.104400000000002</c:v>
                </c:pt>
                <c:pt idx="6">
                  <c:v>8.8780000000000001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C-BB4C-8520-7A4610B9EBF5}"/>
            </c:ext>
          </c:extLst>
        </c:ser>
        <c:ser>
          <c:idx val="1"/>
          <c:order val="1"/>
          <c:tx>
            <c:v>Odhad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data'!$D$18:$D$24</c:f>
              <c:numCache>
                <c:formatCode>General</c:formatCode>
                <c:ptCount val="7"/>
                <c:pt idx="0">
                  <c:v>11797.758400000001</c:v>
                </c:pt>
                <c:pt idx="1">
                  <c:v>5435.8567999999996</c:v>
                </c:pt>
                <c:pt idx="2">
                  <c:v>5619.7055999999993</c:v>
                </c:pt>
                <c:pt idx="3">
                  <c:v>226.2371884929224</c:v>
                </c:pt>
                <c:pt idx="4">
                  <c:v>18.023036093830346</c:v>
                </c:pt>
                <c:pt idx="5">
                  <c:v>28.181208737589543</c:v>
                </c:pt>
                <c:pt idx="6">
                  <c:v>19.092272150752414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C-BB4C-8520-7A4610B9EBF5}"/>
            </c:ext>
          </c:extLst>
        </c:ser>
        <c:ser>
          <c:idx val="2"/>
          <c:order val="2"/>
          <c:tx>
            <c:v>Priemer N2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data'!$J$18:$J$24</c:f>
              <c:numCache>
                <c:formatCode>General</c:formatCode>
                <c:ptCount val="7"/>
                <c:pt idx="0">
                  <c:v>12148.248000000001</c:v>
                </c:pt>
                <c:pt idx="1">
                  <c:v>5483.2960000000003</c:v>
                </c:pt>
                <c:pt idx="2">
                  <c:v>5694.6831999999995</c:v>
                </c:pt>
                <c:pt idx="3">
                  <c:v>441.05039999999997</c:v>
                </c:pt>
                <c:pt idx="4">
                  <c:v>16.864800000000002</c:v>
                </c:pt>
                <c:pt idx="5">
                  <c:v>27.847400000000004</c:v>
                </c:pt>
                <c:pt idx="6">
                  <c:v>17.593399999999995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C-BB4C-8520-7A4610B9E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830847"/>
        <c:axId val="941820991"/>
      </c:barChart>
      <c:catAx>
        <c:axId val="94183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20991"/>
        <c:crosses val="autoZero"/>
        <c:auto val="1"/>
        <c:lblAlgn val="ctr"/>
        <c:lblOffset val="100"/>
        <c:noMultiLvlLbl val="0"/>
      </c:catAx>
      <c:valAx>
        <c:axId val="9418209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3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 porovnani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Premer N1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24973198.800000001</c:v>
                </c:pt>
                <c:pt idx="3">
                  <c:v>116578.4</c:v>
                </c:pt>
                <c:pt idx="4">
                  <c:v>158335.6</c:v>
                </c:pt>
                <c:pt idx="5">
                  <c:v>120468.8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C-A449-AA7F-7D225CAC9A58}"/>
            </c:ext>
          </c:extLst>
        </c:ser>
        <c:ser>
          <c:idx val="1"/>
          <c:order val="1"/>
          <c:tx>
            <c:v>Odhad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data'!$K$18:$K$24</c:f>
              <c:numCache>
                <c:formatCode>General</c:formatCode>
                <c:ptCount val="7"/>
                <c:pt idx="0">
                  <c:v>199980000</c:v>
                </c:pt>
                <c:pt idx="1">
                  <c:v>199980000</c:v>
                </c:pt>
                <c:pt idx="2">
                  <c:v>99892795.200000003</c:v>
                </c:pt>
                <c:pt idx="3">
                  <c:v>250703.59762325694</c:v>
                </c:pt>
                <c:pt idx="4">
                  <c:v>340503.08249072696</c:v>
                </c:pt>
                <c:pt idx="5">
                  <c:v>259069.96117082253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DC-A449-AA7F-7D225CAC9A58}"/>
            </c:ext>
          </c:extLst>
        </c:ser>
        <c:ser>
          <c:idx val="2"/>
          <c:order val="2"/>
          <c:tx>
            <c:v>Premer N2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100299766.59999999</c:v>
                </c:pt>
                <c:pt idx="3">
                  <c:v>248325.4</c:v>
                </c:pt>
                <c:pt idx="4">
                  <c:v>329508.40000000002</c:v>
                </c:pt>
                <c:pt idx="5">
                  <c:v>260930.4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DC-A449-AA7F-7D225CAC9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712063"/>
        <c:axId val="450084159"/>
      </c:barChart>
      <c:catAx>
        <c:axId val="42671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84159"/>
        <c:crosses val="autoZero"/>
        <c:auto val="1"/>
        <c:lblAlgn val="ctr"/>
        <c:lblOffset val="100"/>
        <c:noMultiLvlLbl val="0"/>
      </c:catAx>
      <c:valAx>
        <c:axId val="4500841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1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</a:t>
            </a:r>
            <a:r>
              <a:rPr lang="en-US" baseline="0"/>
              <a:t> priradeni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Premer N1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data'!$U$6:$U$12</c:f>
              <c:numCache>
                <c:formatCode>General</c:formatCode>
                <c:ptCount val="7"/>
                <c:pt idx="0">
                  <c:v>74985366.599999994</c:v>
                </c:pt>
                <c:pt idx="1">
                  <c:v>30000</c:v>
                </c:pt>
                <c:pt idx="2">
                  <c:v>24983197.800000001</c:v>
                </c:pt>
                <c:pt idx="3">
                  <c:v>25219781.399999999</c:v>
                </c:pt>
                <c:pt idx="4">
                  <c:v>163913.79999999999</c:v>
                </c:pt>
                <c:pt idx="5">
                  <c:v>133616</c:v>
                </c:pt>
                <c:pt idx="6">
                  <c:v>200045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1-4745-9A53-55443A77A106}"/>
            </c:ext>
          </c:extLst>
        </c:ser>
        <c:ser>
          <c:idx val="1"/>
          <c:order val="1"/>
          <c:tx>
            <c:v>Odhad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data'!$R$18:$R$24</c:f>
              <c:numCache>
                <c:formatCode>General</c:formatCode>
                <c:ptCount val="7"/>
                <c:pt idx="0">
                  <c:v>299941466.39999998</c:v>
                </c:pt>
                <c:pt idx="1">
                  <c:v>60000</c:v>
                </c:pt>
                <c:pt idx="2">
                  <c:v>99932791.200000003</c:v>
                </c:pt>
                <c:pt idx="3">
                  <c:v>100879125.59999999</c:v>
                </c:pt>
                <c:pt idx="4">
                  <c:v>352499.08525163331</c:v>
                </c:pt>
                <c:pt idx="5">
                  <c:v>287343.21195031924</c:v>
                </c:pt>
                <c:pt idx="6">
                  <c:v>400090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1-4745-9A53-55443A77A106}"/>
            </c:ext>
          </c:extLst>
        </c:ser>
        <c:ser>
          <c:idx val="2"/>
          <c:order val="2"/>
          <c:tx>
            <c:v>Premer N2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data'!$X$18:$X$24</c:f>
              <c:numCache>
                <c:formatCode>General</c:formatCode>
                <c:ptCount val="7"/>
                <c:pt idx="0">
                  <c:v>300520221</c:v>
                </c:pt>
                <c:pt idx="1">
                  <c:v>199990000</c:v>
                </c:pt>
                <c:pt idx="2">
                  <c:v>100319765.59999999</c:v>
                </c:pt>
                <c:pt idx="3">
                  <c:v>99796821.799999997</c:v>
                </c:pt>
                <c:pt idx="4">
                  <c:v>339038.2</c:v>
                </c:pt>
                <c:pt idx="5">
                  <c:v>287232</c:v>
                </c:pt>
                <c:pt idx="6">
                  <c:v>400045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1-4745-9A53-55443A77A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129151"/>
        <c:axId val="421128255"/>
      </c:barChart>
      <c:catAx>
        <c:axId val="4211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28255"/>
        <c:crosses val="autoZero"/>
        <c:auto val="1"/>
        <c:lblAlgn val="ctr"/>
        <c:lblOffset val="100"/>
        <c:noMultiLvlLbl val="0"/>
      </c:catAx>
      <c:valAx>
        <c:axId val="4211282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Doba</a:t>
            </a:r>
            <a:r>
              <a:rPr lang="en-US" baseline="0"/>
              <a:t> Hladania (kolisave up)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rastúce data'!$I$5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data'!$I$6:$I$12</c:f>
              <c:numCache>
                <c:formatCode>General</c:formatCode>
                <c:ptCount val="7"/>
                <c:pt idx="0">
                  <c:v>3797.1733999999997</c:v>
                </c:pt>
                <c:pt idx="1">
                  <c:v>1462.3085999999998</c:v>
                </c:pt>
                <c:pt idx="2">
                  <c:v>2834.8573999999999</c:v>
                </c:pt>
                <c:pt idx="3">
                  <c:v>193.5986</c:v>
                </c:pt>
                <c:pt idx="4">
                  <c:v>6.5407999999999999</c:v>
                </c:pt>
                <c:pt idx="5">
                  <c:v>9.1898</c:v>
                </c:pt>
                <c:pt idx="6">
                  <c:v>11.5672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9-C246-AC6E-2A97DE7E21E8}"/>
            </c:ext>
          </c:extLst>
        </c:ser>
        <c:ser>
          <c:idx val="1"/>
          <c:order val="1"/>
          <c:tx>
            <c:strRef>
              <c:f>'Sort kolísavo rastúce data'!$D$17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data'!$D$18:$D$24</c:f>
              <c:numCache>
                <c:formatCode>General</c:formatCode>
                <c:ptCount val="7"/>
                <c:pt idx="0">
                  <c:v>15188.693599999999</c:v>
                </c:pt>
                <c:pt idx="1">
                  <c:v>5849.2343999999994</c:v>
                </c:pt>
                <c:pt idx="2">
                  <c:v>11339.429599999999</c:v>
                </c:pt>
                <c:pt idx="3">
                  <c:v>416.33669285927641</c:v>
                </c:pt>
                <c:pt idx="4">
                  <c:v>14.066088497819484</c:v>
                </c:pt>
                <c:pt idx="5">
                  <c:v>19.762802727076426</c:v>
                </c:pt>
                <c:pt idx="6">
                  <c:v>24.8754370829222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9-C246-AC6E-2A97DE7E21E8}"/>
            </c:ext>
          </c:extLst>
        </c:ser>
        <c:ser>
          <c:idx val="2"/>
          <c:order val="2"/>
          <c:tx>
            <c:strRef>
              <c:f>'Sort kolísavo rastúce data'!$J$17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data'!$J$18:$J$24</c:f>
              <c:numCache>
                <c:formatCode>General</c:formatCode>
                <c:ptCount val="7"/>
                <c:pt idx="0">
                  <c:v>15149.837600000003</c:v>
                </c:pt>
                <c:pt idx="1">
                  <c:v>5784.5473999999995</c:v>
                </c:pt>
                <c:pt idx="2">
                  <c:v>11194.372399999998</c:v>
                </c:pt>
                <c:pt idx="3">
                  <c:v>782.08400000000006</c:v>
                </c:pt>
                <c:pt idx="4">
                  <c:v>13.106</c:v>
                </c:pt>
                <c:pt idx="5">
                  <c:v>18.384</c:v>
                </c:pt>
                <c:pt idx="6">
                  <c:v>21.363999999999997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19-C246-AC6E-2A97DE7E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24063"/>
        <c:axId val="419619583"/>
      </c:barChart>
      <c:catAx>
        <c:axId val="41962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19583"/>
        <c:crosses val="autoZero"/>
        <c:auto val="1"/>
        <c:lblAlgn val="ctr"/>
        <c:lblOffset val="100"/>
        <c:noMultiLvlLbl val="0"/>
      </c:catAx>
      <c:valAx>
        <c:axId val="4196195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2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</a:t>
            </a:r>
            <a:r>
              <a:rPr lang="en-US" baseline="0"/>
              <a:t> porovnani (kolisave up)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rastúce data'!$O$5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50001889.200000003</c:v>
                </c:pt>
                <c:pt idx="3">
                  <c:v>114266</c:v>
                </c:pt>
                <c:pt idx="4">
                  <c:v>119602.4</c:v>
                </c:pt>
                <c:pt idx="5">
                  <c:v>69879.399999999994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B-0742-927D-A7A1578F70CC}"/>
            </c:ext>
          </c:extLst>
        </c:ser>
        <c:ser>
          <c:idx val="1"/>
          <c:order val="1"/>
          <c:tx>
            <c:strRef>
              <c:f>'Sort kolísavo rastúce data'!$K$17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data'!$K$18:$K$24</c:f>
              <c:numCache>
                <c:formatCode>General</c:formatCode>
                <c:ptCount val="7"/>
                <c:pt idx="0">
                  <c:v>199980000</c:v>
                </c:pt>
                <c:pt idx="1">
                  <c:v>199980000</c:v>
                </c:pt>
                <c:pt idx="2">
                  <c:v>200007556.80000001</c:v>
                </c:pt>
                <c:pt idx="3">
                  <c:v>245730.74674227025</c:v>
                </c:pt>
                <c:pt idx="4">
                  <c:v>257206.75497670087</c:v>
                </c:pt>
                <c:pt idx="5">
                  <c:v>150276.69773950079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B-0742-927D-A7A1578F70CC}"/>
            </c:ext>
          </c:extLst>
        </c:ser>
        <c:ser>
          <c:idx val="2"/>
          <c:order val="2"/>
          <c:tx>
            <c:strRef>
              <c:f>'Sort kolísavo rastúce data'!$Q$17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200003813</c:v>
                </c:pt>
                <c:pt idx="3">
                  <c:v>248532</c:v>
                </c:pt>
                <c:pt idx="4">
                  <c:v>259033</c:v>
                </c:pt>
                <c:pt idx="5">
                  <c:v>149803.79999999999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5B-0742-927D-A7A1578F7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834367"/>
        <c:axId val="421228799"/>
      </c:barChart>
      <c:catAx>
        <c:axId val="42683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28799"/>
        <c:crosses val="autoZero"/>
        <c:auto val="1"/>
        <c:lblAlgn val="ctr"/>
        <c:lblOffset val="100"/>
        <c:noMultiLvlLbl val="0"/>
      </c:catAx>
      <c:valAx>
        <c:axId val="4212287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 priradeni (kolisave up)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rastúce data'!$U$5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data'!$U$6:$U$12</c:f>
              <c:numCache>
                <c:formatCode>General</c:formatCode>
                <c:ptCount val="7"/>
                <c:pt idx="0">
                  <c:v>149975756.40000001</c:v>
                </c:pt>
                <c:pt idx="1">
                  <c:v>30000</c:v>
                </c:pt>
                <c:pt idx="2">
                  <c:v>50011888.200000003</c:v>
                </c:pt>
                <c:pt idx="3">
                  <c:v>50011916.600000001</c:v>
                </c:pt>
                <c:pt idx="4">
                  <c:v>125479.8</c:v>
                </c:pt>
                <c:pt idx="5">
                  <c:v>133616</c:v>
                </c:pt>
                <c:pt idx="6">
                  <c:v>232052.2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7-DC43-9950-65AAF2E9A9F7}"/>
            </c:ext>
          </c:extLst>
        </c:ser>
        <c:ser>
          <c:idx val="1"/>
          <c:order val="1"/>
          <c:tx>
            <c:strRef>
              <c:f>'Sort kolísavo rastúce data'!$R$17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data'!$R$18:$R$24</c:f>
              <c:numCache>
                <c:formatCode>General</c:formatCode>
                <c:ptCount val="7"/>
                <c:pt idx="0">
                  <c:v>599903025.60000002</c:v>
                </c:pt>
                <c:pt idx="1">
                  <c:v>60000</c:v>
                </c:pt>
                <c:pt idx="2">
                  <c:v>200047552.80000001</c:v>
                </c:pt>
                <c:pt idx="3">
                  <c:v>200047666.40000001</c:v>
                </c:pt>
                <c:pt idx="4">
                  <c:v>269846.1918249586</c:v>
                </c:pt>
                <c:pt idx="5">
                  <c:v>287343.21195031924</c:v>
                </c:pt>
                <c:pt idx="6">
                  <c:v>464104.4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7-DC43-9950-65AAF2E9A9F7}"/>
            </c:ext>
          </c:extLst>
        </c:ser>
        <c:ser>
          <c:idx val="2"/>
          <c:order val="2"/>
          <c:tx>
            <c:strRef>
              <c:f>'Sort kolísavo rastúce data'!$X$17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data'!$X$18:$X$24</c:f>
              <c:numCache>
                <c:formatCode>General</c:formatCode>
                <c:ptCount val="7"/>
                <c:pt idx="0">
                  <c:v>599951314.79999995</c:v>
                </c:pt>
                <c:pt idx="1">
                  <c:v>60000</c:v>
                </c:pt>
                <c:pt idx="2">
                  <c:v>200023812</c:v>
                </c:pt>
                <c:pt idx="3">
                  <c:v>200023752.80000001</c:v>
                </c:pt>
                <c:pt idx="4">
                  <c:v>270762.2</c:v>
                </c:pt>
                <c:pt idx="5">
                  <c:v>287232</c:v>
                </c:pt>
                <c:pt idx="6">
                  <c:v>480054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7-DC43-9950-65AAF2E9A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724799"/>
        <c:axId val="400727935"/>
      </c:barChart>
      <c:catAx>
        <c:axId val="40072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27935"/>
        <c:crosses val="autoZero"/>
        <c:auto val="1"/>
        <c:lblAlgn val="ctr"/>
        <c:lblOffset val="100"/>
        <c:noMultiLvlLbl val="0"/>
      </c:catAx>
      <c:valAx>
        <c:axId val="4007279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2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Doba</a:t>
            </a:r>
            <a:r>
              <a:rPr lang="en-US" baseline="0"/>
              <a:t> hladania (kolisavo down)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klesajúce data'!$I$5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data'!$I$6:$I$12</c:f>
              <c:numCache>
                <c:formatCode>General</c:formatCode>
                <c:ptCount val="7"/>
                <c:pt idx="0">
                  <c:v>2001.1536000000001</c:v>
                </c:pt>
                <c:pt idx="1">
                  <c:v>1318.1306</c:v>
                </c:pt>
                <c:pt idx="2">
                  <c:v>286.33920000000001</c:v>
                </c:pt>
                <c:pt idx="3">
                  <c:v>65.346000000000004</c:v>
                </c:pt>
                <c:pt idx="4">
                  <c:v>1.9928000000000003</c:v>
                </c:pt>
                <c:pt idx="5">
                  <c:v>9.5817999999999994</c:v>
                </c:pt>
                <c:pt idx="6">
                  <c:v>8.988999999999999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6-7345-B341-46F690265B41}"/>
            </c:ext>
          </c:extLst>
        </c:ser>
        <c:ser>
          <c:idx val="1"/>
          <c:order val="1"/>
          <c:tx>
            <c:strRef>
              <c:f>'Sort kolísavo klesajúce data'!$D$17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data'!$D$18:$D$24</c:f>
              <c:numCache>
                <c:formatCode>General</c:formatCode>
                <c:ptCount val="7"/>
                <c:pt idx="0">
                  <c:v>8004.6144000000004</c:v>
                </c:pt>
                <c:pt idx="1">
                  <c:v>5272.5223999999998</c:v>
                </c:pt>
                <c:pt idx="2">
                  <c:v>1145.3568</c:v>
                </c:pt>
                <c:pt idx="3">
                  <c:v>140.52755304832928</c:v>
                </c:pt>
                <c:pt idx="4">
                  <c:v>4.2855462876795913</c:v>
                </c:pt>
                <c:pt idx="5">
                  <c:v>20.605804606226567</c:v>
                </c:pt>
                <c:pt idx="6">
                  <c:v>19.330979315511762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6-7345-B341-46F690265B41}"/>
            </c:ext>
          </c:extLst>
        </c:ser>
        <c:ser>
          <c:idx val="2"/>
          <c:order val="2"/>
          <c:tx>
            <c:strRef>
              <c:f>'Sort kolísavo klesajúce data'!$J$17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data'!$J$18:$J$24</c:f>
              <c:numCache>
                <c:formatCode>General</c:formatCode>
                <c:ptCount val="7"/>
                <c:pt idx="0">
                  <c:v>8632.5648000000019</c:v>
                </c:pt>
                <c:pt idx="1">
                  <c:v>5349.7087999999994</c:v>
                </c:pt>
                <c:pt idx="2">
                  <c:v>1481.2149999999999</c:v>
                </c:pt>
                <c:pt idx="3">
                  <c:v>243.8554</c:v>
                </c:pt>
                <c:pt idx="4">
                  <c:v>2.6596000000000002</c:v>
                </c:pt>
                <c:pt idx="5">
                  <c:v>19.863800000000001</c:v>
                </c:pt>
                <c:pt idx="6">
                  <c:v>17.052399999999999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F6-7345-B341-46F690265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934271"/>
        <c:axId val="394920831"/>
      </c:barChart>
      <c:catAx>
        <c:axId val="3949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20831"/>
        <c:crosses val="autoZero"/>
        <c:auto val="1"/>
        <c:lblAlgn val="ctr"/>
        <c:lblOffset val="100"/>
        <c:noMultiLvlLbl val="0"/>
      </c:catAx>
      <c:valAx>
        <c:axId val="3949208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3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</a:t>
            </a:r>
            <a:r>
              <a:rPr lang="en-US" baseline="0"/>
              <a:t>t porovnani (kolisavo down)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klesajúce data'!$O$5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5293730.8</c:v>
                </c:pt>
                <c:pt idx="3">
                  <c:v>37788</c:v>
                </c:pt>
                <c:pt idx="4">
                  <c:v>39664.400000000001</c:v>
                </c:pt>
                <c:pt idx="5">
                  <c:v>80374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D-C545-8C7A-4C2E7F599772}"/>
            </c:ext>
          </c:extLst>
        </c:ser>
        <c:ser>
          <c:idx val="1"/>
          <c:order val="1"/>
          <c:tx>
            <c:strRef>
              <c:f>'Sort kolísavo klesajúce data'!$K$17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data'!$K$18:$K$24</c:f>
              <c:numCache>
                <c:formatCode>General</c:formatCode>
                <c:ptCount val="7"/>
                <c:pt idx="0">
                  <c:v>199990000</c:v>
                </c:pt>
                <c:pt idx="1">
                  <c:v>199980000</c:v>
                </c:pt>
                <c:pt idx="2">
                  <c:v>21174923.199999999</c:v>
                </c:pt>
                <c:pt idx="3">
                  <c:v>81263.660738075268</c:v>
                </c:pt>
                <c:pt idx="4">
                  <c:v>85298.887080007218</c:v>
                </c:pt>
                <c:pt idx="5">
                  <c:v>172845.49243574843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D-C545-8C7A-4C2E7F599772}"/>
            </c:ext>
          </c:extLst>
        </c:ser>
        <c:ser>
          <c:idx val="2"/>
          <c:order val="2"/>
          <c:tx>
            <c:strRef>
              <c:f>'Sort kolísavo klesajúce data'!$Q$17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26537227.199999999</c:v>
                </c:pt>
                <c:pt idx="3">
                  <c:v>54635.6</c:v>
                </c:pt>
                <c:pt idx="4">
                  <c:v>59551.6</c:v>
                </c:pt>
                <c:pt idx="5">
                  <c:v>173008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D-C545-8C7A-4C2E7F599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87839"/>
        <c:axId val="400804031"/>
      </c:barChart>
      <c:catAx>
        <c:axId val="45038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804031"/>
        <c:crosses val="autoZero"/>
        <c:auto val="1"/>
        <c:lblAlgn val="ctr"/>
        <c:lblOffset val="100"/>
        <c:noMultiLvlLbl val="0"/>
      </c:catAx>
      <c:valAx>
        <c:axId val="4008040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</a:t>
            </a:r>
            <a:r>
              <a:rPr lang="en-US" baseline="0"/>
              <a:t> priradeni (kolisavo down)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kolísavo klesajúce data'!$U$5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data'!$U$6:$U$12</c:f>
              <c:numCache>
                <c:formatCode>General</c:formatCode>
                <c:ptCount val="7"/>
                <c:pt idx="0">
                  <c:v>15611943</c:v>
                </c:pt>
                <c:pt idx="1">
                  <c:v>30000</c:v>
                </c:pt>
                <c:pt idx="2">
                  <c:v>5303729.8</c:v>
                </c:pt>
                <c:pt idx="3">
                  <c:v>22488540.800000001</c:v>
                </c:pt>
                <c:pt idx="4">
                  <c:v>40865.199999999997</c:v>
                </c:pt>
                <c:pt idx="5">
                  <c:v>133616</c:v>
                </c:pt>
                <c:pt idx="6">
                  <c:v>200045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8-814C-B1A8-F792FF6F95F4}"/>
            </c:ext>
          </c:extLst>
        </c:ser>
        <c:ser>
          <c:idx val="1"/>
          <c:order val="1"/>
          <c:tx>
            <c:strRef>
              <c:f>'Sort kolísavo klesajúce data'!$R$17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data'!$R$18:$R$24</c:f>
              <c:numCache>
                <c:formatCode>General</c:formatCode>
                <c:ptCount val="7"/>
                <c:pt idx="0">
                  <c:v>199990000</c:v>
                </c:pt>
                <c:pt idx="1">
                  <c:v>60000</c:v>
                </c:pt>
                <c:pt idx="2">
                  <c:v>21214919.199999999</c:v>
                </c:pt>
                <c:pt idx="3">
                  <c:v>89954163.200000003</c:v>
                </c:pt>
                <c:pt idx="4">
                  <c:v>87881.225489403863</c:v>
                </c:pt>
                <c:pt idx="5">
                  <c:v>287343.21195031924</c:v>
                </c:pt>
                <c:pt idx="6">
                  <c:v>400090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8-814C-B1A8-F792FF6F95F4}"/>
            </c:ext>
          </c:extLst>
        </c:ser>
        <c:ser>
          <c:idx val="2"/>
          <c:order val="2"/>
          <c:tx>
            <c:strRef>
              <c:f>'Sort kolísavo klesajúce data'!$X$17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data'!$X$18:$X$24</c:f>
              <c:numCache>
                <c:formatCode>General</c:formatCode>
                <c:ptCount val="7"/>
                <c:pt idx="0">
                  <c:v>78610916.400000006</c:v>
                </c:pt>
                <c:pt idx="1">
                  <c:v>60000</c:v>
                </c:pt>
                <c:pt idx="2">
                  <c:v>20957226.199999999</c:v>
                </c:pt>
                <c:pt idx="3">
                  <c:v>72412095.400000006</c:v>
                </c:pt>
                <c:pt idx="4">
                  <c:v>60750.400000000001</c:v>
                </c:pt>
                <c:pt idx="5">
                  <c:v>287232</c:v>
                </c:pt>
                <c:pt idx="6">
                  <c:v>400045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8-814C-B1A8-F792FF6F9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096831"/>
        <c:axId val="2098515904"/>
      </c:barChart>
      <c:catAx>
        <c:axId val="4210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5904"/>
        <c:crosses val="autoZero"/>
        <c:auto val="1"/>
        <c:lblAlgn val="ctr"/>
        <c:lblOffset val="100"/>
        <c:noMultiLvlLbl val="0"/>
      </c:catAx>
      <c:valAx>
        <c:axId val="2098515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0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Doba</a:t>
            </a:r>
            <a:r>
              <a:rPr lang="en-US" baseline="0"/>
              <a:t> hladania (vsetky porovnane)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Priemer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data'!$I$6:$I$12</c:f>
              <c:numCache>
                <c:formatCode>General</c:formatCode>
                <c:ptCount val="7"/>
                <c:pt idx="0">
                  <c:v>2949.4396000000002</c:v>
                </c:pt>
                <c:pt idx="1">
                  <c:v>1358.9641999999999</c:v>
                </c:pt>
                <c:pt idx="2">
                  <c:v>1404.9263999999998</c:v>
                </c:pt>
                <c:pt idx="3">
                  <c:v>105.20140000000001</c:v>
                </c:pt>
                <c:pt idx="4">
                  <c:v>8.3807999999999989</c:v>
                </c:pt>
                <c:pt idx="5">
                  <c:v>13.104400000000002</c:v>
                </c:pt>
                <c:pt idx="6">
                  <c:v>8.8780000000000001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120-7F43-8CFB-7E1DF25459F1}"/>
            </c:ext>
          </c:extLst>
        </c:ser>
        <c:ser>
          <c:idx val="4"/>
          <c:order val="1"/>
          <c:tx>
            <c:v>Odhad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data'!$D$18:$D$24</c:f>
              <c:numCache>
                <c:formatCode>General</c:formatCode>
                <c:ptCount val="7"/>
                <c:pt idx="0">
                  <c:v>11797.758400000001</c:v>
                </c:pt>
                <c:pt idx="1">
                  <c:v>5435.8567999999996</c:v>
                </c:pt>
                <c:pt idx="2">
                  <c:v>5619.7055999999993</c:v>
                </c:pt>
                <c:pt idx="3">
                  <c:v>226.2371884929224</c:v>
                </c:pt>
                <c:pt idx="4">
                  <c:v>18.023036093830346</c:v>
                </c:pt>
                <c:pt idx="5">
                  <c:v>28.181208737589543</c:v>
                </c:pt>
                <c:pt idx="6">
                  <c:v>19.092272150752414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120-7F43-8CFB-7E1DF25459F1}"/>
            </c:ext>
          </c:extLst>
        </c:ser>
        <c:ser>
          <c:idx val="5"/>
          <c:order val="2"/>
          <c:tx>
            <c:v>Priemer N2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data'!$J$18:$J$24</c:f>
              <c:numCache>
                <c:formatCode>General</c:formatCode>
                <c:ptCount val="7"/>
                <c:pt idx="0">
                  <c:v>12148.248000000001</c:v>
                </c:pt>
                <c:pt idx="1">
                  <c:v>5483.2960000000003</c:v>
                </c:pt>
                <c:pt idx="2">
                  <c:v>5694.6831999999995</c:v>
                </c:pt>
                <c:pt idx="3">
                  <c:v>441.05039999999997</c:v>
                </c:pt>
                <c:pt idx="4">
                  <c:v>16.864800000000002</c:v>
                </c:pt>
                <c:pt idx="5">
                  <c:v>27.847400000000004</c:v>
                </c:pt>
                <c:pt idx="6">
                  <c:v>17.593399999999995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120-7F43-8CFB-7E1DF25459F1}"/>
            </c:ext>
          </c:extLst>
        </c:ser>
        <c:ser>
          <c:idx val="6"/>
          <c:order val="3"/>
          <c:tx>
            <c:strRef>
              <c:f>'Sort kolísavo rastúce data'!$I$5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data'!$I$6:$I$12</c:f>
              <c:numCache>
                <c:formatCode>General</c:formatCode>
                <c:ptCount val="7"/>
                <c:pt idx="0">
                  <c:v>3797.1733999999997</c:v>
                </c:pt>
                <c:pt idx="1">
                  <c:v>1462.3085999999998</c:v>
                </c:pt>
                <c:pt idx="2">
                  <c:v>2834.8573999999999</c:v>
                </c:pt>
                <c:pt idx="3">
                  <c:v>193.5986</c:v>
                </c:pt>
                <c:pt idx="4">
                  <c:v>6.5407999999999999</c:v>
                </c:pt>
                <c:pt idx="5">
                  <c:v>9.1898</c:v>
                </c:pt>
                <c:pt idx="6">
                  <c:v>11.5672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120-7F43-8CFB-7E1DF25459F1}"/>
            </c:ext>
          </c:extLst>
        </c:ser>
        <c:ser>
          <c:idx val="7"/>
          <c:order val="4"/>
          <c:tx>
            <c:strRef>
              <c:f>'Sort kolísavo rastúce data'!$D$17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data'!$D$18:$D$24</c:f>
              <c:numCache>
                <c:formatCode>General</c:formatCode>
                <c:ptCount val="7"/>
                <c:pt idx="0">
                  <c:v>15188.693599999999</c:v>
                </c:pt>
                <c:pt idx="1">
                  <c:v>5849.2343999999994</c:v>
                </c:pt>
                <c:pt idx="2">
                  <c:v>11339.429599999999</c:v>
                </c:pt>
                <c:pt idx="3">
                  <c:v>416.33669285927641</c:v>
                </c:pt>
                <c:pt idx="4">
                  <c:v>14.066088497819484</c:v>
                </c:pt>
                <c:pt idx="5">
                  <c:v>19.762802727076426</c:v>
                </c:pt>
                <c:pt idx="6">
                  <c:v>24.8754370829222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120-7F43-8CFB-7E1DF25459F1}"/>
            </c:ext>
          </c:extLst>
        </c:ser>
        <c:ser>
          <c:idx val="8"/>
          <c:order val="5"/>
          <c:tx>
            <c:strRef>
              <c:f>'Sort kolísavo rastúce data'!$J$17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data'!$J$18:$J$24</c:f>
              <c:numCache>
                <c:formatCode>General</c:formatCode>
                <c:ptCount val="7"/>
                <c:pt idx="0">
                  <c:v>15149.837600000003</c:v>
                </c:pt>
                <c:pt idx="1">
                  <c:v>5784.5473999999995</c:v>
                </c:pt>
                <c:pt idx="2">
                  <c:v>11194.372399999998</c:v>
                </c:pt>
                <c:pt idx="3">
                  <c:v>782.08400000000006</c:v>
                </c:pt>
                <c:pt idx="4">
                  <c:v>13.106</c:v>
                </c:pt>
                <c:pt idx="5">
                  <c:v>18.384</c:v>
                </c:pt>
                <c:pt idx="6">
                  <c:v>21.363999999999997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120-7F43-8CFB-7E1DF25459F1}"/>
            </c:ext>
          </c:extLst>
        </c:ser>
        <c:ser>
          <c:idx val="0"/>
          <c:order val="6"/>
          <c:tx>
            <c:strRef>
              <c:f>'Sort kolísavo klesajúce data'!$I$5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data'!$I$6:$I$12</c:f>
              <c:numCache>
                <c:formatCode>General</c:formatCode>
                <c:ptCount val="7"/>
                <c:pt idx="0">
                  <c:v>2001.1536000000001</c:v>
                </c:pt>
                <c:pt idx="1">
                  <c:v>1318.1306</c:v>
                </c:pt>
                <c:pt idx="2">
                  <c:v>286.33920000000001</c:v>
                </c:pt>
                <c:pt idx="3">
                  <c:v>65.346000000000004</c:v>
                </c:pt>
                <c:pt idx="4">
                  <c:v>1.9928000000000003</c:v>
                </c:pt>
                <c:pt idx="5">
                  <c:v>9.5817999999999994</c:v>
                </c:pt>
                <c:pt idx="6">
                  <c:v>8.988999999999999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20-7F43-8CFB-7E1DF25459F1}"/>
            </c:ext>
          </c:extLst>
        </c:ser>
        <c:ser>
          <c:idx val="1"/>
          <c:order val="7"/>
          <c:tx>
            <c:strRef>
              <c:f>'Sort kolísavo klesajúce data'!$D$17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data'!$D$18:$D$24</c:f>
              <c:numCache>
                <c:formatCode>General</c:formatCode>
                <c:ptCount val="7"/>
                <c:pt idx="0">
                  <c:v>8004.6144000000004</c:v>
                </c:pt>
                <c:pt idx="1">
                  <c:v>5272.5223999999998</c:v>
                </c:pt>
                <c:pt idx="2">
                  <c:v>1145.3568</c:v>
                </c:pt>
                <c:pt idx="3">
                  <c:v>140.52755304832928</c:v>
                </c:pt>
                <c:pt idx="4">
                  <c:v>4.2855462876795913</c:v>
                </c:pt>
                <c:pt idx="5">
                  <c:v>20.605804606226567</c:v>
                </c:pt>
                <c:pt idx="6">
                  <c:v>19.330979315511762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120-7F43-8CFB-7E1DF25459F1}"/>
            </c:ext>
          </c:extLst>
        </c:ser>
        <c:ser>
          <c:idx val="2"/>
          <c:order val="8"/>
          <c:tx>
            <c:strRef>
              <c:f>'Sort kolísavo klesajúce data'!$J$17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data'!$J$18:$J$24</c:f>
              <c:numCache>
                <c:formatCode>General</c:formatCode>
                <c:ptCount val="7"/>
                <c:pt idx="0">
                  <c:v>8632.5648000000019</c:v>
                </c:pt>
                <c:pt idx="1">
                  <c:v>5349.7087999999994</c:v>
                </c:pt>
                <c:pt idx="2">
                  <c:v>1481.2149999999999</c:v>
                </c:pt>
                <c:pt idx="3">
                  <c:v>243.8554</c:v>
                </c:pt>
                <c:pt idx="4">
                  <c:v>2.6596000000000002</c:v>
                </c:pt>
                <c:pt idx="5">
                  <c:v>19.863800000000001</c:v>
                </c:pt>
                <c:pt idx="6">
                  <c:v>17.052399999999999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120-7F43-8CFB-7E1DF2545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934271"/>
        <c:axId val="394920831"/>
      </c:barChart>
      <c:catAx>
        <c:axId val="3949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20831"/>
        <c:crosses val="autoZero"/>
        <c:auto val="1"/>
        <c:lblAlgn val="ctr"/>
        <c:lblOffset val="100"/>
        <c:noMultiLvlLbl val="0"/>
      </c:catAx>
      <c:valAx>
        <c:axId val="3949208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3427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</a:t>
            </a:r>
            <a:r>
              <a:rPr lang="en-US" baseline="0"/>
              <a:t>t porovnani (vsetky poronane)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Premer N1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24973198.800000001</c:v>
                </c:pt>
                <c:pt idx="3">
                  <c:v>116578.4</c:v>
                </c:pt>
                <c:pt idx="4">
                  <c:v>158335.6</c:v>
                </c:pt>
                <c:pt idx="5">
                  <c:v>120468.8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84E-C048-9DA0-F596A7416E2D}"/>
            </c:ext>
          </c:extLst>
        </c:ser>
        <c:ser>
          <c:idx val="4"/>
          <c:order val="1"/>
          <c:tx>
            <c:v>Odhad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data'!$K$18:$K$24</c:f>
              <c:numCache>
                <c:formatCode>General</c:formatCode>
                <c:ptCount val="7"/>
                <c:pt idx="0">
                  <c:v>199980000</c:v>
                </c:pt>
                <c:pt idx="1">
                  <c:v>199980000</c:v>
                </c:pt>
                <c:pt idx="2">
                  <c:v>99892795.200000003</c:v>
                </c:pt>
                <c:pt idx="3">
                  <c:v>250703.59762325694</c:v>
                </c:pt>
                <c:pt idx="4">
                  <c:v>340503.08249072696</c:v>
                </c:pt>
                <c:pt idx="5">
                  <c:v>259069.96117082253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84E-C048-9DA0-F596A7416E2D}"/>
            </c:ext>
          </c:extLst>
        </c:ser>
        <c:ser>
          <c:idx val="5"/>
          <c:order val="2"/>
          <c:tx>
            <c:v>Premer N2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100299766.59999999</c:v>
                </c:pt>
                <c:pt idx="3">
                  <c:v>248325.4</c:v>
                </c:pt>
                <c:pt idx="4">
                  <c:v>329508.40000000002</c:v>
                </c:pt>
                <c:pt idx="5">
                  <c:v>260930.4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84E-C048-9DA0-F596A7416E2D}"/>
            </c:ext>
          </c:extLst>
        </c:ser>
        <c:ser>
          <c:idx val="6"/>
          <c:order val="3"/>
          <c:tx>
            <c:strRef>
              <c:f>'Sort kolísavo rastúce data'!$O$5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50001889.200000003</c:v>
                </c:pt>
                <c:pt idx="3">
                  <c:v>114266</c:v>
                </c:pt>
                <c:pt idx="4">
                  <c:v>119602.4</c:v>
                </c:pt>
                <c:pt idx="5">
                  <c:v>69879.399999999994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84E-C048-9DA0-F596A7416E2D}"/>
            </c:ext>
          </c:extLst>
        </c:ser>
        <c:ser>
          <c:idx val="7"/>
          <c:order val="4"/>
          <c:tx>
            <c:strRef>
              <c:f>'Sort kolísavo rastúce data'!$K$17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data'!$K$18:$K$24</c:f>
              <c:numCache>
                <c:formatCode>General</c:formatCode>
                <c:ptCount val="7"/>
                <c:pt idx="0">
                  <c:v>199980000</c:v>
                </c:pt>
                <c:pt idx="1">
                  <c:v>199980000</c:v>
                </c:pt>
                <c:pt idx="2">
                  <c:v>200007556.80000001</c:v>
                </c:pt>
                <c:pt idx="3">
                  <c:v>245730.74674227025</c:v>
                </c:pt>
                <c:pt idx="4">
                  <c:v>257206.75497670087</c:v>
                </c:pt>
                <c:pt idx="5">
                  <c:v>150276.69773950079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84E-C048-9DA0-F596A7416E2D}"/>
            </c:ext>
          </c:extLst>
        </c:ser>
        <c:ser>
          <c:idx val="8"/>
          <c:order val="5"/>
          <c:tx>
            <c:strRef>
              <c:f>'Sort kolísavo rastúce data'!$Q$17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200003813</c:v>
                </c:pt>
                <c:pt idx="3">
                  <c:v>248532</c:v>
                </c:pt>
                <c:pt idx="4">
                  <c:v>259033</c:v>
                </c:pt>
                <c:pt idx="5">
                  <c:v>149803.79999999999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84E-C048-9DA0-F596A7416E2D}"/>
            </c:ext>
          </c:extLst>
        </c:ser>
        <c:ser>
          <c:idx val="0"/>
          <c:order val="6"/>
          <c:tx>
            <c:strRef>
              <c:f>'Sort kolísavo klesajúce data'!$O$5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data'!$O$6:$O$12</c:f>
              <c:numCache>
                <c:formatCode>General</c:formatCode>
                <c:ptCount val="7"/>
                <c:pt idx="0">
                  <c:v>49995000</c:v>
                </c:pt>
                <c:pt idx="1">
                  <c:v>49995000</c:v>
                </c:pt>
                <c:pt idx="2">
                  <c:v>5293730.8</c:v>
                </c:pt>
                <c:pt idx="3">
                  <c:v>37788</c:v>
                </c:pt>
                <c:pt idx="4">
                  <c:v>39664.400000000001</c:v>
                </c:pt>
                <c:pt idx="5">
                  <c:v>80374</c:v>
                </c:pt>
                <c:pt idx="6">
                  <c:v>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84E-C048-9DA0-F596A7416E2D}"/>
            </c:ext>
          </c:extLst>
        </c:ser>
        <c:ser>
          <c:idx val="1"/>
          <c:order val="7"/>
          <c:tx>
            <c:strRef>
              <c:f>'Sort kolísavo klesajúce data'!$K$17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data'!$K$18:$K$24</c:f>
              <c:numCache>
                <c:formatCode>General</c:formatCode>
                <c:ptCount val="7"/>
                <c:pt idx="0">
                  <c:v>199990000</c:v>
                </c:pt>
                <c:pt idx="1">
                  <c:v>199980000</c:v>
                </c:pt>
                <c:pt idx="2">
                  <c:v>21174923.199999999</c:v>
                </c:pt>
                <c:pt idx="3">
                  <c:v>81263.660738075268</c:v>
                </c:pt>
                <c:pt idx="4">
                  <c:v>85298.887080007218</c:v>
                </c:pt>
                <c:pt idx="5">
                  <c:v>172845.49243574843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84E-C048-9DA0-F596A7416E2D}"/>
            </c:ext>
          </c:extLst>
        </c:ser>
        <c:ser>
          <c:idx val="2"/>
          <c:order val="8"/>
          <c:tx>
            <c:strRef>
              <c:f>'Sort kolísavo klesajúce data'!$Q$17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data'!$Q$18:$Q$24</c:f>
              <c:numCache>
                <c:formatCode>General</c:formatCode>
                <c:ptCount val="7"/>
                <c:pt idx="0">
                  <c:v>199990000</c:v>
                </c:pt>
                <c:pt idx="1">
                  <c:v>199990000</c:v>
                </c:pt>
                <c:pt idx="2">
                  <c:v>26537227.199999999</c:v>
                </c:pt>
                <c:pt idx="3">
                  <c:v>54635.6</c:v>
                </c:pt>
                <c:pt idx="4">
                  <c:v>59551.6</c:v>
                </c:pt>
                <c:pt idx="5">
                  <c:v>173008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84E-C048-9DA0-F596A7416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87839"/>
        <c:axId val="400804031"/>
      </c:barChart>
      <c:catAx>
        <c:axId val="45038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804031"/>
        <c:crosses val="autoZero"/>
        <c:auto val="1"/>
        <c:lblAlgn val="ctr"/>
        <c:lblOffset val="100"/>
        <c:noMultiLvlLbl val="0"/>
      </c:catAx>
      <c:valAx>
        <c:axId val="4008040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878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Pocet</a:t>
            </a:r>
            <a:r>
              <a:rPr lang="en-US" baseline="0"/>
              <a:t> priradeni (vsetky porovnane)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Premer N1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data'!$U$6:$U$12</c:f>
              <c:numCache>
                <c:formatCode>General</c:formatCode>
                <c:ptCount val="7"/>
                <c:pt idx="0">
                  <c:v>74985366.599999994</c:v>
                </c:pt>
                <c:pt idx="1">
                  <c:v>30000</c:v>
                </c:pt>
                <c:pt idx="2">
                  <c:v>24983197.800000001</c:v>
                </c:pt>
                <c:pt idx="3">
                  <c:v>25219781.399999999</c:v>
                </c:pt>
                <c:pt idx="4">
                  <c:v>163913.79999999999</c:v>
                </c:pt>
                <c:pt idx="5">
                  <c:v>133616</c:v>
                </c:pt>
                <c:pt idx="6">
                  <c:v>200045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8A0-0B42-AE40-327F11D28316}"/>
            </c:ext>
          </c:extLst>
        </c:ser>
        <c:ser>
          <c:idx val="4"/>
          <c:order val="1"/>
          <c:tx>
            <c:v>Odhad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data'!$R$18:$R$24</c:f>
              <c:numCache>
                <c:formatCode>General</c:formatCode>
                <c:ptCount val="7"/>
                <c:pt idx="0">
                  <c:v>299941466.39999998</c:v>
                </c:pt>
                <c:pt idx="1">
                  <c:v>60000</c:v>
                </c:pt>
                <c:pt idx="2">
                  <c:v>99932791.200000003</c:v>
                </c:pt>
                <c:pt idx="3">
                  <c:v>100879125.59999999</c:v>
                </c:pt>
                <c:pt idx="4">
                  <c:v>352499.08525163331</c:v>
                </c:pt>
                <c:pt idx="5">
                  <c:v>287343.21195031924</c:v>
                </c:pt>
                <c:pt idx="6">
                  <c:v>400090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8A0-0B42-AE40-327F11D28316}"/>
            </c:ext>
          </c:extLst>
        </c:ser>
        <c:ser>
          <c:idx val="5"/>
          <c:order val="2"/>
          <c:tx>
            <c:v>Premer N2</c:v>
          </c:tx>
          <c:invertIfNegative val="0"/>
          <c:cat>
            <c:strRef>
              <c:f>'Sort rovnomerné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rovnomerné data'!$X$18:$X$24</c:f>
              <c:numCache>
                <c:formatCode>General</c:formatCode>
                <c:ptCount val="7"/>
                <c:pt idx="0">
                  <c:v>300520221</c:v>
                </c:pt>
                <c:pt idx="1">
                  <c:v>199990000</c:v>
                </c:pt>
                <c:pt idx="2">
                  <c:v>100319765.59999999</c:v>
                </c:pt>
                <c:pt idx="3">
                  <c:v>99796821.799999997</c:v>
                </c:pt>
                <c:pt idx="4">
                  <c:v>339038.2</c:v>
                </c:pt>
                <c:pt idx="5">
                  <c:v>287232</c:v>
                </c:pt>
                <c:pt idx="6">
                  <c:v>400045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8A0-0B42-AE40-327F11D28316}"/>
            </c:ext>
          </c:extLst>
        </c:ser>
        <c:ser>
          <c:idx val="6"/>
          <c:order val="3"/>
          <c:tx>
            <c:strRef>
              <c:f>'Sort kolísavo rastúce data'!$U$5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data'!$U$6:$U$12</c:f>
              <c:numCache>
                <c:formatCode>General</c:formatCode>
                <c:ptCount val="7"/>
                <c:pt idx="0">
                  <c:v>149975756.40000001</c:v>
                </c:pt>
                <c:pt idx="1">
                  <c:v>30000</c:v>
                </c:pt>
                <c:pt idx="2">
                  <c:v>50011888.200000003</c:v>
                </c:pt>
                <c:pt idx="3">
                  <c:v>50011916.600000001</c:v>
                </c:pt>
                <c:pt idx="4">
                  <c:v>125479.8</c:v>
                </c:pt>
                <c:pt idx="5">
                  <c:v>133616</c:v>
                </c:pt>
                <c:pt idx="6">
                  <c:v>232052.2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8A0-0B42-AE40-327F11D28316}"/>
            </c:ext>
          </c:extLst>
        </c:ser>
        <c:ser>
          <c:idx val="7"/>
          <c:order val="4"/>
          <c:tx>
            <c:strRef>
              <c:f>'Sort kolísavo rastúce data'!$R$17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data'!$R$18:$R$24</c:f>
              <c:numCache>
                <c:formatCode>General</c:formatCode>
                <c:ptCount val="7"/>
                <c:pt idx="0">
                  <c:v>599903025.60000002</c:v>
                </c:pt>
                <c:pt idx="1">
                  <c:v>60000</c:v>
                </c:pt>
                <c:pt idx="2">
                  <c:v>200047552.80000001</c:v>
                </c:pt>
                <c:pt idx="3">
                  <c:v>200047666.40000001</c:v>
                </c:pt>
                <c:pt idx="4">
                  <c:v>269846.1918249586</c:v>
                </c:pt>
                <c:pt idx="5">
                  <c:v>287343.21195031924</c:v>
                </c:pt>
                <c:pt idx="6">
                  <c:v>464104.4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8A0-0B42-AE40-327F11D28316}"/>
            </c:ext>
          </c:extLst>
        </c:ser>
        <c:ser>
          <c:idx val="8"/>
          <c:order val="5"/>
          <c:tx>
            <c:strRef>
              <c:f>'Sort kolísavo rastúce data'!$X$17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rastúce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rastúce data'!$X$18:$X$24</c:f>
              <c:numCache>
                <c:formatCode>General</c:formatCode>
                <c:ptCount val="7"/>
                <c:pt idx="0">
                  <c:v>599951314.79999995</c:v>
                </c:pt>
                <c:pt idx="1">
                  <c:v>60000</c:v>
                </c:pt>
                <c:pt idx="2">
                  <c:v>200023812</c:v>
                </c:pt>
                <c:pt idx="3">
                  <c:v>200023752.80000001</c:v>
                </c:pt>
                <c:pt idx="4">
                  <c:v>270762.2</c:v>
                </c:pt>
                <c:pt idx="5">
                  <c:v>287232</c:v>
                </c:pt>
                <c:pt idx="6">
                  <c:v>480054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8A0-0B42-AE40-327F11D28316}"/>
            </c:ext>
          </c:extLst>
        </c:ser>
        <c:ser>
          <c:idx val="0"/>
          <c:order val="6"/>
          <c:tx>
            <c:strRef>
              <c:f>'Sort kolísavo klesajúce data'!$U$5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data'!$U$6:$U$12</c:f>
              <c:numCache>
                <c:formatCode>General</c:formatCode>
                <c:ptCount val="7"/>
                <c:pt idx="0">
                  <c:v>15611943</c:v>
                </c:pt>
                <c:pt idx="1">
                  <c:v>30000</c:v>
                </c:pt>
                <c:pt idx="2">
                  <c:v>5303729.8</c:v>
                </c:pt>
                <c:pt idx="3">
                  <c:v>22488540.800000001</c:v>
                </c:pt>
                <c:pt idx="4">
                  <c:v>40865.199999999997</c:v>
                </c:pt>
                <c:pt idx="5">
                  <c:v>133616</c:v>
                </c:pt>
                <c:pt idx="6">
                  <c:v>200045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A0-0B42-AE40-327F11D28316}"/>
            </c:ext>
          </c:extLst>
        </c:ser>
        <c:ser>
          <c:idx val="1"/>
          <c:order val="7"/>
          <c:tx>
            <c:strRef>
              <c:f>'Sort kolísavo klesajúce data'!$R$17</c:f>
              <c:strCache>
                <c:ptCount val="1"/>
                <c:pt idx="0">
                  <c:v>Odhad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data'!$R$18:$R$24</c:f>
              <c:numCache>
                <c:formatCode>General</c:formatCode>
                <c:ptCount val="7"/>
                <c:pt idx="0">
                  <c:v>199990000</c:v>
                </c:pt>
                <c:pt idx="1">
                  <c:v>60000</c:v>
                </c:pt>
                <c:pt idx="2">
                  <c:v>21214919.199999999</c:v>
                </c:pt>
                <c:pt idx="3">
                  <c:v>89954163.200000003</c:v>
                </c:pt>
                <c:pt idx="4">
                  <c:v>87881.225489403863</c:v>
                </c:pt>
                <c:pt idx="5">
                  <c:v>287343.21195031924</c:v>
                </c:pt>
                <c:pt idx="6">
                  <c:v>400090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8A0-0B42-AE40-327F11D28316}"/>
            </c:ext>
          </c:extLst>
        </c:ser>
        <c:ser>
          <c:idx val="2"/>
          <c:order val="8"/>
          <c:tx>
            <c:strRef>
              <c:f>'Sort kolísavo klesajúce data'!$X$17</c:f>
              <c:strCache>
                <c:ptCount val="1"/>
                <c:pt idx="0">
                  <c:v>Priemer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'Sort kolísavo klesajúce data'!$B$18:$B$24</c:f>
              <c:strCache>
                <c:ptCount val="7"/>
                <c:pt idx="0">
                  <c:v>Bubble Sort</c:v>
                </c:pt>
                <c:pt idx="1">
                  <c:v>Select Sort</c:v>
                </c:pt>
                <c:pt idx="2">
                  <c:v>Insert Sort</c:v>
                </c:pt>
                <c:pt idx="3">
                  <c:v>Insert Sort + Binary Search</c:v>
                </c:pt>
                <c:pt idx="4">
                  <c:v>Quick Sort</c:v>
                </c:pt>
                <c:pt idx="5">
                  <c:v>Merge Sort</c:v>
                </c:pt>
                <c:pt idx="6">
                  <c:v>Radix Sort</c:v>
                </c:pt>
              </c:strCache>
            </c:strRef>
          </c:cat>
          <c:val>
            <c:numRef>
              <c:f>'Sort kolísavo klesajúce data'!$X$18:$X$24</c:f>
              <c:numCache>
                <c:formatCode>General</c:formatCode>
                <c:ptCount val="7"/>
                <c:pt idx="0">
                  <c:v>78610916.400000006</c:v>
                </c:pt>
                <c:pt idx="1">
                  <c:v>60000</c:v>
                </c:pt>
                <c:pt idx="2">
                  <c:v>20957226.199999999</c:v>
                </c:pt>
                <c:pt idx="3">
                  <c:v>72412095.400000006</c:v>
                </c:pt>
                <c:pt idx="4">
                  <c:v>60750.400000000001</c:v>
                </c:pt>
                <c:pt idx="5">
                  <c:v>287232</c:v>
                </c:pt>
                <c:pt idx="6">
                  <c:v>400045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8A0-0B42-AE40-327F11D28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096831"/>
        <c:axId val="2098515904"/>
      </c:barChart>
      <c:catAx>
        <c:axId val="4210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5904"/>
        <c:crosses val="autoZero"/>
        <c:auto val="1"/>
        <c:lblAlgn val="ctr"/>
        <c:lblOffset val="100"/>
        <c:noMultiLvlLbl val="0"/>
      </c:catAx>
      <c:valAx>
        <c:axId val="2098515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09683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711200</xdr:colOff>
      <xdr:row>28</xdr:row>
      <xdr:rowOff>171450</xdr:rowOff>
    </xdr:from>
    <xdr:to>
      <xdr:col>6</xdr:col>
      <xdr:colOff>215900</xdr:colOff>
      <xdr:row>43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676AD4-9405-14AE-48A0-367C397F1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243841</xdr:colOff>
      <xdr:row>28</xdr:row>
      <xdr:rowOff>47515</xdr:rowOff>
    </xdr:from>
    <xdr:to>
      <xdr:col>6</xdr:col>
      <xdr:colOff>452603</xdr:colOff>
      <xdr:row>44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8B257-6D28-7DF9-DEF1-F4D2CB876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710623</xdr:colOff>
      <xdr:row>28</xdr:row>
      <xdr:rowOff>19049</xdr:rowOff>
    </xdr:from>
    <xdr:to>
      <xdr:col>16</xdr:col>
      <xdr:colOff>38485</xdr:colOff>
      <xdr:row>44</xdr:row>
      <xdr:rowOff>153938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06099E-415C-D197-D785-1E11B9023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262774</xdr:colOff>
      <xdr:row>28</xdr:row>
      <xdr:rowOff>14778</xdr:rowOff>
    </xdr:from>
    <xdr:to>
      <xdr:col>24</xdr:col>
      <xdr:colOff>404089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961712-F081-DC89-3B64-77E03F2EB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220132</xdr:colOff>
      <xdr:row>26</xdr:row>
      <xdr:rowOff>50800</xdr:rowOff>
    </xdr:from>
    <xdr:to>
      <xdr:col>6</xdr:col>
      <xdr:colOff>203200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97BEE-7E58-0BA5-0E89-332A1FBF7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279400</xdr:colOff>
      <xdr:row>26</xdr:row>
      <xdr:rowOff>50801</xdr:rowOff>
    </xdr:from>
    <xdr:to>
      <xdr:col>15</xdr:col>
      <xdr:colOff>152400</xdr:colOff>
      <xdr:row>41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666394-157B-CA64-3994-AF0FCFB3B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270933</xdr:colOff>
      <xdr:row>26</xdr:row>
      <xdr:rowOff>16933</xdr:rowOff>
    </xdr:from>
    <xdr:to>
      <xdr:col>24</xdr:col>
      <xdr:colOff>338666</xdr:colOff>
      <xdr:row>41</xdr:row>
      <xdr:rowOff>16932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E5BDF9-60C7-325E-A522-8DF63AE7A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56078</xdr:colOff>
      <xdr:row>27</xdr:row>
      <xdr:rowOff>70988</xdr:rowOff>
    </xdr:from>
    <xdr:to>
      <xdr:col>7</xdr:col>
      <xdr:colOff>230909</xdr:colOff>
      <xdr:row>43</xdr:row>
      <xdr:rowOff>90119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847BD-8266-6258-B0E3-C858FA0C4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286987</xdr:colOff>
      <xdr:row>27</xdr:row>
      <xdr:rowOff>154775</xdr:rowOff>
    </xdr:from>
    <xdr:to>
      <xdr:col>16</xdr:col>
      <xdr:colOff>362859</xdr:colOff>
      <xdr:row>44</xdr:row>
      <xdr:rowOff>46841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6327F-5444-63F1-C41D-9D8AC4D1F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464590</xdr:colOff>
      <xdr:row>28</xdr:row>
      <xdr:rowOff>36682</xdr:rowOff>
    </xdr:from>
    <xdr:to>
      <xdr:col>25</xdr:col>
      <xdr:colOff>194095</xdr:colOff>
      <xdr:row>44</xdr:row>
      <xdr:rowOff>171268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09ECEB-3FD3-F66C-F9FD-1E1C3D4BF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601834</xdr:colOff>
      <xdr:row>4</xdr:row>
      <xdr:rowOff>141073</xdr:rowOff>
    </xdr:from>
    <xdr:to>
      <xdr:col>5</xdr:col>
      <xdr:colOff>457847</xdr:colOff>
      <xdr:row>18</xdr:row>
      <xdr:rowOff>166312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A9B02-65EE-EE36-9E02-7448620BF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592666</xdr:colOff>
      <xdr:row>20</xdr:row>
      <xdr:rowOff>84667</xdr:rowOff>
    </xdr:from>
    <xdr:to>
      <xdr:col>8</xdr:col>
      <xdr:colOff>219816</xdr:colOff>
      <xdr:row>36</xdr:row>
      <xdr:rowOff>101138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2C6DDC-BC1A-B64A-971E-5D48A6CCE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440267</xdr:colOff>
      <xdr:row>20</xdr:row>
      <xdr:rowOff>118534</xdr:rowOff>
    </xdr:from>
    <xdr:to>
      <xdr:col>19</xdr:col>
      <xdr:colOff>206856</xdr:colOff>
      <xdr:row>37</xdr:row>
      <xdr:rowOff>165677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F1AA87-0772-4245-AEF2-847FDB629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491067</xdr:colOff>
      <xdr:row>20</xdr:row>
      <xdr:rowOff>101600</xdr:rowOff>
    </xdr:from>
    <xdr:to>
      <xdr:col>29</xdr:col>
      <xdr:colOff>170565</xdr:colOff>
      <xdr:row>38</xdr:row>
      <xdr:rowOff>5234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92006A-8705-7740-BE46-21123D6C2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626534</xdr:colOff>
      <xdr:row>38</xdr:row>
      <xdr:rowOff>1</xdr:rowOff>
    </xdr:from>
    <xdr:to>
      <xdr:col>7</xdr:col>
      <xdr:colOff>338668</xdr:colOff>
      <xdr:row>52</xdr:row>
      <xdr:rowOff>135467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0F6F59-17D1-4946-95AE-7673FE650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16934</xdr:colOff>
      <xdr:row>39</xdr:row>
      <xdr:rowOff>50800</xdr:rowOff>
    </xdr:from>
    <xdr:to>
      <xdr:col>17</xdr:col>
      <xdr:colOff>499534</xdr:colOff>
      <xdr:row>54</xdr:row>
      <xdr:rowOff>84666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B5B86C-8D54-324B-AC99-8E39A23E5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135466</xdr:colOff>
      <xdr:row>39</xdr:row>
      <xdr:rowOff>67733</xdr:rowOff>
    </xdr:from>
    <xdr:to>
      <xdr:col>28</xdr:col>
      <xdr:colOff>135466</xdr:colOff>
      <xdr:row>54</xdr:row>
      <xdr:rowOff>67732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B9BD50-27F8-524B-83C8-2F9C06EBE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33868</xdr:colOff>
      <xdr:row>56</xdr:row>
      <xdr:rowOff>135468</xdr:rowOff>
    </xdr:from>
    <xdr:to>
      <xdr:col>9</xdr:col>
      <xdr:colOff>181209</xdr:colOff>
      <xdr:row>73</xdr:row>
      <xdr:rowOff>154819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E2A44C1-88AB-554A-A652-5CA4406D3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457200</xdr:colOff>
      <xdr:row>56</xdr:row>
      <xdr:rowOff>169334</xdr:rowOff>
    </xdr:from>
    <xdr:to>
      <xdr:col>20</xdr:col>
      <xdr:colOff>207600</xdr:colOff>
      <xdr:row>74</xdr:row>
      <xdr:rowOff>68394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A8A9563-A9D0-234A-AE76-54B1D17ED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508001</xdr:colOff>
      <xdr:row>57</xdr:row>
      <xdr:rowOff>50800</xdr:rowOff>
    </xdr:from>
    <xdr:to>
      <xdr:col>30</xdr:col>
      <xdr:colOff>473913</xdr:colOff>
      <xdr:row>74</xdr:row>
      <xdr:rowOff>185607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D33B4A4-40F5-4245-B44A-D349B83F2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152400</xdr:colOff>
      <xdr:row>75</xdr:row>
      <xdr:rowOff>177800</xdr:rowOff>
    </xdr:from>
    <xdr:to>
      <xdr:col>8</xdr:col>
      <xdr:colOff>465350</xdr:colOff>
      <xdr:row>91</xdr:row>
      <xdr:rowOff>194271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C58E87-FC34-1F4A-A467-85680903D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228600</xdr:colOff>
      <xdr:row>76</xdr:row>
      <xdr:rowOff>127000</xdr:rowOff>
    </xdr:from>
    <xdr:to>
      <xdr:col>19</xdr:col>
      <xdr:colOff>680989</xdr:colOff>
      <xdr:row>93</xdr:row>
      <xdr:rowOff>174143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3069B24-DB73-FF47-B0A1-8C31E87CB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381000</xdr:colOff>
      <xdr:row>77</xdr:row>
      <xdr:rowOff>0</xdr:rowOff>
    </xdr:from>
    <xdr:to>
      <xdr:col>30</xdr:col>
      <xdr:colOff>60498</xdr:colOff>
      <xdr:row>94</xdr:row>
      <xdr:rowOff>106834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3E064EA-3C84-3A49-AF70-0E9FB8EC7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9001-957E-4152-928C-1FF92F4A50E9}">
  <dimension ref="B1:N26"/>
  <sheetViews>
    <sheetView zoomScaleNormal="116" workbookViewId="0">
      <selection activeCell="I33" sqref="I33"/>
    </sheetView>
  </sheetViews>
  <sheetFormatPr baseColWidth="10" defaultColWidth="8.83203125" defaultRowHeight="15" x14ac:dyDescent="0.2"/>
  <cols>
    <col min="1" max="1" width="1.33203125" customWidth="1"/>
    <col min="2" max="2" width="10.83203125" customWidth="1"/>
    <col min="4" max="4" width="17.33203125" customWidth="1"/>
    <col min="5" max="5" width="14.83203125" customWidth="1"/>
    <col min="6" max="6" width="14.6640625" customWidth="1"/>
    <col min="7" max="7" width="18.5" customWidth="1"/>
    <col min="8" max="8" width="14.5" customWidth="1"/>
    <col min="9" max="9" width="15.6640625" customWidth="1"/>
    <col min="10" max="10" width="12.1640625" customWidth="1"/>
    <col min="12" max="12" width="11" customWidth="1"/>
    <col min="13" max="13" width="13.1640625" customWidth="1"/>
    <col min="14" max="14" width="16.1640625" customWidth="1"/>
  </cols>
  <sheetData>
    <row r="1" spans="2:14" x14ac:dyDescent="0.2">
      <c r="B1" s="26">
        <v>3.3219280900000001</v>
      </c>
    </row>
    <row r="4" spans="2:14" ht="16" thickBot="1" x14ac:dyDescent="0.25"/>
    <row r="5" spans="2:14" ht="22" thickBot="1" x14ac:dyDescent="0.3">
      <c r="E5" s="85" t="s">
        <v>11</v>
      </c>
      <c r="F5" s="86"/>
      <c r="G5" s="86"/>
      <c r="H5" s="86"/>
      <c r="I5" s="87"/>
      <c r="J5" s="85" t="s">
        <v>12</v>
      </c>
      <c r="K5" s="86"/>
      <c r="L5" s="86"/>
      <c r="M5" s="86"/>
      <c r="N5" s="87"/>
    </row>
    <row r="6" spans="2:14" ht="48" customHeight="1" thickBot="1" x14ac:dyDescent="0.25">
      <c r="D6" s="28" t="s">
        <v>0</v>
      </c>
      <c r="E6" s="38" t="s">
        <v>1</v>
      </c>
      <c r="F6" s="39" t="s">
        <v>18</v>
      </c>
      <c r="G6" s="39" t="s">
        <v>2</v>
      </c>
      <c r="H6" s="27" t="s">
        <v>19</v>
      </c>
      <c r="I6" s="29" t="s">
        <v>3</v>
      </c>
      <c r="J6" s="30" t="s">
        <v>1</v>
      </c>
      <c r="K6" s="27" t="s">
        <v>18</v>
      </c>
      <c r="L6" s="27" t="s">
        <v>2</v>
      </c>
      <c r="M6" s="27" t="s">
        <v>19</v>
      </c>
      <c r="N6" s="31" t="s">
        <v>3</v>
      </c>
    </row>
    <row r="7" spans="2:14" ht="17.5" customHeight="1" x14ac:dyDescent="0.2">
      <c r="B7" s="83">
        <v>10000000</v>
      </c>
      <c r="C7" s="61">
        <v>1</v>
      </c>
      <c r="D7" s="16">
        <v>40131442</v>
      </c>
      <c r="E7" s="19">
        <v>8026991</v>
      </c>
      <c r="F7" s="33">
        <v>201.107</v>
      </c>
      <c r="G7" s="33">
        <v>8026992</v>
      </c>
      <c r="H7" s="88">
        <f>AVERAGE(F7:F16)</f>
        <v>125.48800000000001</v>
      </c>
      <c r="I7" s="91">
        <f>AVERAGE(G7:G16)</f>
        <v>5130934</v>
      </c>
      <c r="J7" s="25">
        <v>8026991</v>
      </c>
      <c r="K7" s="13">
        <v>5.0000000000000001E-3</v>
      </c>
      <c r="L7" s="24">
        <v>24</v>
      </c>
      <c r="M7" s="94">
        <f>AVERAGE(K7:K16)</f>
        <v>5.1999999999999998E-3</v>
      </c>
      <c r="N7" s="91">
        <f>AVERAGE(L7:L16)</f>
        <v>22.1</v>
      </c>
    </row>
    <row r="8" spans="2:14" ht="17.5" customHeight="1" x14ac:dyDescent="0.2">
      <c r="B8" s="84"/>
      <c r="C8" s="62">
        <v>2</v>
      </c>
      <c r="D8" s="21">
        <v>46954357</v>
      </c>
      <c r="E8" s="1">
        <v>9391351</v>
      </c>
      <c r="F8" s="2">
        <v>231.88</v>
      </c>
      <c r="G8" s="2">
        <v>9391352</v>
      </c>
      <c r="H8" s="89"/>
      <c r="I8" s="92"/>
      <c r="J8" s="3">
        <v>9391351</v>
      </c>
      <c r="K8" s="3">
        <v>6.0000000000000001E-3</v>
      </c>
      <c r="L8" s="5">
        <v>24</v>
      </c>
      <c r="M8" s="95"/>
      <c r="N8" s="92"/>
    </row>
    <row r="9" spans="2:14" ht="17.5" customHeight="1" x14ac:dyDescent="0.2">
      <c r="B9" s="84"/>
      <c r="C9" s="63">
        <v>3</v>
      </c>
      <c r="D9" s="20">
        <v>19929258</v>
      </c>
      <c r="E9" s="1">
        <v>3985877</v>
      </c>
      <c r="F9" s="21">
        <v>97.896000000000001</v>
      </c>
      <c r="G9" s="2">
        <v>3985878</v>
      </c>
      <c r="H9" s="89"/>
      <c r="I9" s="92"/>
      <c r="J9" s="3">
        <v>3985877</v>
      </c>
      <c r="K9" s="1">
        <v>5.0000000000000001E-3</v>
      </c>
      <c r="L9" s="22">
        <v>23</v>
      </c>
      <c r="M9" s="95"/>
      <c r="N9" s="92"/>
    </row>
    <row r="10" spans="2:14" ht="17.5" customHeight="1" x14ac:dyDescent="0.2">
      <c r="B10" s="84"/>
      <c r="C10" s="63">
        <v>4</v>
      </c>
      <c r="D10" s="14">
        <v>45365556</v>
      </c>
      <c r="E10" s="18">
        <v>9073283</v>
      </c>
      <c r="F10">
        <v>221.684</v>
      </c>
      <c r="G10" s="11">
        <v>9073284</v>
      </c>
      <c r="H10" s="89"/>
      <c r="I10" s="92"/>
      <c r="J10" s="3">
        <v>9073283</v>
      </c>
      <c r="K10" s="1">
        <v>6.0000000000000001E-3</v>
      </c>
      <c r="L10" s="5">
        <v>20</v>
      </c>
      <c r="M10" s="95"/>
      <c r="N10" s="92"/>
    </row>
    <row r="11" spans="2:14" ht="17.5" customHeight="1" x14ac:dyDescent="0.2">
      <c r="B11" s="84"/>
      <c r="C11" s="63">
        <v>5</v>
      </c>
      <c r="D11" s="4">
        <v>2503612</v>
      </c>
      <c r="E11" s="1">
        <v>500221</v>
      </c>
      <c r="F11" s="21">
        <v>12.212999999999999</v>
      </c>
      <c r="G11" s="2">
        <v>500222</v>
      </c>
      <c r="H11" s="89"/>
      <c r="I11" s="92"/>
      <c r="J11" s="12">
        <v>500221</v>
      </c>
      <c r="K11" s="19">
        <v>5.0000000000000001E-3</v>
      </c>
      <c r="L11" s="23">
        <v>23</v>
      </c>
      <c r="M11" s="95"/>
      <c r="N11" s="92"/>
    </row>
    <row r="12" spans="2:14" ht="17.5" customHeight="1" x14ac:dyDescent="0.2">
      <c r="B12" s="84"/>
      <c r="C12" s="63">
        <v>6</v>
      </c>
      <c r="D12" s="20">
        <v>21969109</v>
      </c>
      <c r="E12" s="1">
        <v>4393995</v>
      </c>
      <c r="F12" s="21">
        <v>106.98399999999999</v>
      </c>
      <c r="G12" s="2">
        <v>4393996</v>
      </c>
      <c r="H12" s="89"/>
      <c r="I12" s="92"/>
      <c r="J12" s="3">
        <v>4393995</v>
      </c>
      <c r="K12" s="1">
        <v>4.0000000000000001E-3</v>
      </c>
      <c r="L12" s="5">
        <v>17</v>
      </c>
      <c r="M12" s="95"/>
      <c r="N12" s="92"/>
    </row>
    <row r="13" spans="2:14" ht="17.5" customHeight="1" x14ac:dyDescent="0.2">
      <c r="B13" s="81" t="s">
        <v>23</v>
      </c>
      <c r="C13" s="63">
        <v>7</v>
      </c>
      <c r="D13" s="20">
        <v>21452847</v>
      </c>
      <c r="E13" s="1">
        <v>4290656</v>
      </c>
      <c r="F13" s="21">
        <v>106</v>
      </c>
      <c r="G13" s="2">
        <v>4290657</v>
      </c>
      <c r="H13" s="89"/>
      <c r="I13" s="92"/>
      <c r="J13" s="3">
        <v>4290656</v>
      </c>
      <c r="K13" s="18">
        <v>6.0000000000000001E-3</v>
      </c>
      <c r="L13" s="15">
        <v>23</v>
      </c>
      <c r="M13" s="95"/>
      <c r="N13" s="92"/>
    </row>
    <row r="14" spans="2:14" ht="17.5" customHeight="1" x14ac:dyDescent="0.2">
      <c r="B14" s="81"/>
      <c r="C14" s="62">
        <v>8</v>
      </c>
      <c r="D14" s="21">
        <v>12989858</v>
      </c>
      <c r="E14" s="1">
        <v>2597923</v>
      </c>
      <c r="F14" s="21">
        <v>64.159000000000006</v>
      </c>
      <c r="G14" s="2">
        <v>2597924</v>
      </c>
      <c r="H14" s="89"/>
      <c r="I14" s="92"/>
      <c r="J14" s="3">
        <v>2597923</v>
      </c>
      <c r="K14" s="17">
        <v>4.0000000000000001E-3</v>
      </c>
      <c r="L14" s="5">
        <v>22</v>
      </c>
      <c r="M14" s="95"/>
      <c r="N14" s="92"/>
    </row>
    <row r="15" spans="2:14" ht="17.5" customHeight="1" x14ac:dyDescent="0.2">
      <c r="B15" s="81"/>
      <c r="C15" s="63">
        <v>9</v>
      </c>
      <c r="D15" s="20">
        <v>4595345</v>
      </c>
      <c r="E15" s="1">
        <v>918030</v>
      </c>
      <c r="F15" s="21">
        <v>12</v>
      </c>
      <c r="G15" s="2">
        <v>918031</v>
      </c>
      <c r="H15" s="89"/>
      <c r="I15" s="92"/>
      <c r="J15" s="3">
        <v>918030</v>
      </c>
      <c r="K15" s="1">
        <v>4.0000000000000001E-3</v>
      </c>
      <c r="L15" s="5">
        <v>22</v>
      </c>
      <c r="M15" s="95"/>
      <c r="N15" s="92"/>
    </row>
    <row r="16" spans="2:14" ht="17.5" customHeight="1" thickBot="1" x14ac:dyDescent="0.25">
      <c r="B16" s="82"/>
      <c r="C16" s="64">
        <v>10</v>
      </c>
      <c r="D16" s="35">
        <v>40652767</v>
      </c>
      <c r="E16" s="7">
        <v>8131003</v>
      </c>
      <c r="F16" s="36">
        <v>200.95699999999999</v>
      </c>
      <c r="G16" s="8">
        <v>8131004</v>
      </c>
      <c r="H16" s="90"/>
      <c r="I16" s="93"/>
      <c r="J16" s="10">
        <v>8131003</v>
      </c>
      <c r="K16" s="18">
        <v>7.0000000000000001E-3</v>
      </c>
      <c r="L16" s="15">
        <v>23</v>
      </c>
      <c r="M16" s="96"/>
      <c r="N16" s="93"/>
    </row>
    <row r="17" spans="2:14" ht="17.5" customHeight="1" x14ac:dyDescent="0.2">
      <c r="B17" s="83">
        <v>100000000</v>
      </c>
      <c r="C17" s="65">
        <v>1</v>
      </c>
      <c r="D17" s="34">
        <v>393639309</v>
      </c>
      <c r="E17" s="19">
        <v>39357714</v>
      </c>
      <c r="F17" s="19">
        <v>2901.2370000000001</v>
      </c>
      <c r="G17" s="37">
        <v>39357715</v>
      </c>
      <c r="H17" s="103" t="s">
        <v>4</v>
      </c>
      <c r="I17" s="112" t="s">
        <v>6</v>
      </c>
      <c r="J17" s="40">
        <v>39357714</v>
      </c>
      <c r="K17" s="41">
        <v>1.2E-2</v>
      </c>
      <c r="L17" s="37">
        <v>26</v>
      </c>
      <c r="M17" s="103" t="s">
        <v>4</v>
      </c>
      <c r="N17" s="97" t="s">
        <v>6</v>
      </c>
    </row>
    <row r="18" spans="2:14" ht="17.5" customHeight="1" x14ac:dyDescent="0.2">
      <c r="B18" s="81"/>
      <c r="C18" s="62">
        <v>2</v>
      </c>
      <c r="D18" s="3">
        <v>729714006</v>
      </c>
      <c r="E18" s="1">
        <v>72970173</v>
      </c>
      <c r="F18" s="1">
        <v>5234.2790000000005</v>
      </c>
      <c r="G18" s="5">
        <v>72970174</v>
      </c>
      <c r="H18" s="104"/>
      <c r="I18" s="113"/>
      <c r="J18" s="71">
        <v>72970173</v>
      </c>
      <c r="K18" s="1">
        <v>8.0000000000000002E-3</v>
      </c>
      <c r="L18" s="5">
        <v>22</v>
      </c>
      <c r="M18" s="104"/>
      <c r="N18" s="98"/>
    </row>
    <row r="19" spans="2:14" ht="17.5" customHeight="1" x14ac:dyDescent="0.2">
      <c r="B19" s="81"/>
      <c r="C19" s="62">
        <v>3</v>
      </c>
      <c r="D19" s="3">
        <v>828516562</v>
      </c>
      <c r="E19" s="1">
        <v>82849037</v>
      </c>
      <c r="F19" s="1">
        <v>6176.6549999999997</v>
      </c>
      <c r="G19" s="5">
        <v>82849038</v>
      </c>
      <c r="H19" s="105">
        <f>H7*(B17/B7)</f>
        <v>1254.8800000000001</v>
      </c>
      <c r="I19" s="114">
        <f>I7*(B17/B7)</f>
        <v>51309340</v>
      </c>
      <c r="J19" s="4">
        <v>82849037</v>
      </c>
      <c r="K19" s="1">
        <v>7.0000000000000001E-3</v>
      </c>
      <c r="L19" s="5">
        <v>26</v>
      </c>
      <c r="M19" s="109">
        <f>M7*(LOG10(B17)/LOG10(B7))</f>
        <v>5.9428571428571421E-3</v>
      </c>
      <c r="N19" s="99">
        <f>N7*(LOG10(B17)/LOG10(B7))</f>
        <v>25.257142857142856</v>
      </c>
    </row>
    <row r="20" spans="2:14" ht="17.5" customHeight="1" x14ac:dyDescent="0.2">
      <c r="B20" s="81"/>
      <c r="C20" s="62">
        <v>4</v>
      </c>
      <c r="D20" s="3">
        <v>145074435</v>
      </c>
      <c r="E20" s="1">
        <v>14507684</v>
      </c>
      <c r="F20" s="1">
        <v>1090.7180000000001</v>
      </c>
      <c r="G20" s="5">
        <v>14507685</v>
      </c>
      <c r="H20" s="95"/>
      <c r="I20" s="89"/>
      <c r="J20" s="4">
        <v>14507684</v>
      </c>
      <c r="K20" s="1">
        <v>6.0000000000000001E-3</v>
      </c>
      <c r="L20" s="5">
        <v>23</v>
      </c>
      <c r="M20" s="110"/>
      <c r="N20" s="92"/>
    </row>
    <row r="21" spans="2:14" ht="17.5" customHeight="1" x14ac:dyDescent="0.2">
      <c r="B21" s="81"/>
      <c r="C21" s="62">
        <v>5</v>
      </c>
      <c r="D21" s="3">
        <v>203599393</v>
      </c>
      <c r="E21" s="1">
        <v>20359407</v>
      </c>
      <c r="F21" s="1">
        <v>1498.691</v>
      </c>
      <c r="G21" s="5">
        <v>20359408</v>
      </c>
      <c r="H21" s="106"/>
      <c r="I21" s="115"/>
      <c r="J21" s="4">
        <v>20359407</v>
      </c>
      <c r="K21" s="1">
        <v>6.0000000000000001E-3</v>
      </c>
      <c r="L21" s="5">
        <v>23</v>
      </c>
      <c r="M21" s="118"/>
      <c r="N21" s="100"/>
    </row>
    <row r="22" spans="2:14" ht="17.5" customHeight="1" x14ac:dyDescent="0.2">
      <c r="B22" s="81"/>
      <c r="C22" s="62">
        <v>6</v>
      </c>
      <c r="D22" s="3">
        <v>736886436</v>
      </c>
      <c r="E22" s="1">
        <v>73688443</v>
      </c>
      <c r="F22" s="1">
        <v>5321.86</v>
      </c>
      <c r="G22" s="5">
        <v>73688444</v>
      </c>
      <c r="H22" s="107" t="s">
        <v>5</v>
      </c>
      <c r="I22" s="116" t="s">
        <v>7</v>
      </c>
      <c r="J22" s="4">
        <v>73688443</v>
      </c>
      <c r="K22" s="1">
        <v>7.0000000000000001E-3</v>
      </c>
      <c r="L22" s="5">
        <v>26</v>
      </c>
      <c r="M22" s="107" t="s">
        <v>5</v>
      </c>
      <c r="N22" s="101" t="s">
        <v>7</v>
      </c>
    </row>
    <row r="23" spans="2:14" ht="17.5" customHeight="1" x14ac:dyDescent="0.2">
      <c r="B23" s="81" t="s">
        <v>24</v>
      </c>
      <c r="C23" s="62">
        <v>7</v>
      </c>
      <c r="D23" s="3">
        <v>834719327</v>
      </c>
      <c r="E23" s="1">
        <v>83469273</v>
      </c>
      <c r="F23" s="1">
        <v>6129.3760000000002</v>
      </c>
      <c r="G23" s="5">
        <v>83469274</v>
      </c>
      <c r="H23" s="108"/>
      <c r="I23" s="117"/>
      <c r="J23" s="4">
        <v>83469273</v>
      </c>
      <c r="K23" s="1">
        <v>6.0000000000000001E-3</v>
      </c>
      <c r="L23" s="5">
        <v>26</v>
      </c>
      <c r="M23" s="108"/>
      <c r="N23" s="102"/>
    </row>
    <row r="24" spans="2:14" ht="17.5" customHeight="1" x14ac:dyDescent="0.2">
      <c r="B24" s="81"/>
      <c r="C24" s="62">
        <v>8</v>
      </c>
      <c r="D24" s="3">
        <v>714203952</v>
      </c>
      <c r="E24" s="1">
        <v>71418060</v>
      </c>
      <c r="F24" s="1">
        <v>5293.0010000000002</v>
      </c>
      <c r="G24" s="5">
        <v>71418061</v>
      </c>
      <c r="H24" s="109">
        <f>AVERAGE(F17:F26)</f>
        <v>4199.9983000000011</v>
      </c>
      <c r="I24" s="114">
        <f>AVERAGE(G17:G26)</f>
        <v>56893406</v>
      </c>
      <c r="J24" s="4">
        <v>71418060</v>
      </c>
      <c r="K24" s="1">
        <v>8.0000000000000002E-3</v>
      </c>
      <c r="L24" s="5">
        <v>26</v>
      </c>
      <c r="M24" s="109">
        <f>AVERAGE(K17:K26)</f>
        <v>7.4000000000000012E-3</v>
      </c>
      <c r="N24" s="99">
        <f>AVERAGE(L17:L26)</f>
        <v>24.7</v>
      </c>
    </row>
    <row r="25" spans="2:14" ht="17.5" customHeight="1" x14ac:dyDescent="0.2">
      <c r="B25" s="81"/>
      <c r="C25" s="62">
        <v>9</v>
      </c>
      <c r="D25" s="3">
        <v>621594794</v>
      </c>
      <c r="E25" s="1">
        <v>62154692</v>
      </c>
      <c r="F25" s="1">
        <v>4738.3209999999999</v>
      </c>
      <c r="G25" s="5">
        <v>62154693</v>
      </c>
      <c r="H25" s="110"/>
      <c r="I25" s="89"/>
      <c r="J25" s="4">
        <v>62154692</v>
      </c>
      <c r="K25" s="1">
        <v>7.0000000000000001E-3</v>
      </c>
      <c r="L25" s="5">
        <v>25</v>
      </c>
      <c r="M25" s="110"/>
      <c r="N25" s="92"/>
    </row>
    <row r="26" spans="2:14" ht="17.5" customHeight="1" thickBot="1" x14ac:dyDescent="0.25">
      <c r="B26" s="82"/>
      <c r="C26" s="66">
        <v>10</v>
      </c>
      <c r="D26" s="6">
        <v>481674260</v>
      </c>
      <c r="E26" s="7">
        <v>48159567</v>
      </c>
      <c r="F26" s="7">
        <v>3615.8449999999998</v>
      </c>
      <c r="G26" s="8">
        <v>48159568</v>
      </c>
      <c r="H26" s="111"/>
      <c r="I26" s="90"/>
      <c r="J26" s="6">
        <v>48159567</v>
      </c>
      <c r="K26" s="7">
        <v>7.0000000000000001E-3</v>
      </c>
      <c r="L26" s="8">
        <v>24</v>
      </c>
      <c r="M26" s="111"/>
      <c r="N26" s="93"/>
    </row>
  </sheetData>
  <mergeCells count="26">
    <mergeCell ref="N17:N18"/>
    <mergeCell ref="N19:N21"/>
    <mergeCell ref="N22:N23"/>
    <mergeCell ref="N24:N26"/>
    <mergeCell ref="H17:H18"/>
    <mergeCell ref="H19:H21"/>
    <mergeCell ref="H22:H23"/>
    <mergeCell ref="H24:H26"/>
    <mergeCell ref="I17:I18"/>
    <mergeCell ref="I19:I21"/>
    <mergeCell ref="I22:I23"/>
    <mergeCell ref="I24:I26"/>
    <mergeCell ref="M17:M18"/>
    <mergeCell ref="M19:M21"/>
    <mergeCell ref="M22:M23"/>
    <mergeCell ref="M24:M26"/>
    <mergeCell ref="J5:N5"/>
    <mergeCell ref="H7:H16"/>
    <mergeCell ref="I7:I16"/>
    <mergeCell ref="M7:M16"/>
    <mergeCell ref="N7:N16"/>
    <mergeCell ref="B13:B16"/>
    <mergeCell ref="B7:B12"/>
    <mergeCell ref="B23:B26"/>
    <mergeCell ref="B17:B22"/>
    <mergeCell ref="E5:I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5AEC-6819-48CE-95B6-7FA749B20AC6}">
  <dimension ref="B2:X60"/>
  <sheetViews>
    <sheetView topLeftCell="M15" zoomScale="114" zoomScaleNormal="100" workbookViewId="0">
      <selection activeCell="R26" sqref="R26"/>
    </sheetView>
  </sheetViews>
  <sheetFormatPr baseColWidth="10" defaultColWidth="8.83203125" defaultRowHeight="15" x14ac:dyDescent="0.2"/>
  <cols>
    <col min="1" max="1" width="1.1640625" customWidth="1"/>
    <col min="2" max="2" width="36.83203125" customWidth="1"/>
    <col min="3" max="3" width="12.5" customWidth="1"/>
    <col min="4" max="24" width="10.33203125" customWidth="1"/>
  </cols>
  <sheetData>
    <row r="2" spans="2:24" ht="16" thickBot="1" x14ac:dyDescent="0.25"/>
    <row r="3" spans="2:24" ht="27" customHeight="1" thickBot="1" x14ac:dyDescent="0.35">
      <c r="D3" s="77" t="s">
        <v>26</v>
      </c>
      <c r="E3" s="78"/>
      <c r="F3" s="79">
        <v>10000</v>
      </c>
      <c r="G3" s="79"/>
      <c r="H3" s="79" t="s">
        <v>25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80"/>
    </row>
    <row r="4" spans="2:24" ht="24.75" customHeight="1" thickBot="1" x14ac:dyDescent="0.35">
      <c r="D4" s="74" t="s">
        <v>18</v>
      </c>
      <c r="E4" s="75"/>
      <c r="F4" s="75"/>
      <c r="G4" s="75"/>
      <c r="H4" s="75"/>
      <c r="I4" s="76"/>
      <c r="J4" s="74" t="s">
        <v>2</v>
      </c>
      <c r="K4" s="75"/>
      <c r="L4" s="75"/>
      <c r="M4" s="75"/>
      <c r="N4" s="75"/>
      <c r="O4" s="76"/>
      <c r="P4" s="74" t="s">
        <v>15</v>
      </c>
      <c r="Q4" s="75"/>
      <c r="R4" s="75"/>
      <c r="S4" s="75"/>
      <c r="T4" s="75"/>
      <c r="U4" s="76"/>
    </row>
    <row r="5" spans="2:24" ht="35.5" customHeight="1" thickBot="1" x14ac:dyDescent="0.25">
      <c r="B5" s="43" t="s">
        <v>16</v>
      </c>
      <c r="C5" s="32" t="s">
        <v>17</v>
      </c>
      <c r="D5" s="44">
        <v>1</v>
      </c>
      <c r="E5" s="45">
        <v>2</v>
      </c>
      <c r="F5" s="45">
        <v>3</v>
      </c>
      <c r="G5" s="45">
        <v>4</v>
      </c>
      <c r="H5" s="45">
        <v>5</v>
      </c>
      <c r="I5" s="46" t="s">
        <v>21</v>
      </c>
      <c r="J5" s="44">
        <v>1</v>
      </c>
      <c r="K5" s="45">
        <v>2</v>
      </c>
      <c r="L5" s="45">
        <v>3</v>
      </c>
      <c r="M5" s="45">
        <v>4</v>
      </c>
      <c r="N5" s="45">
        <v>5</v>
      </c>
      <c r="O5" s="46" t="s">
        <v>21</v>
      </c>
      <c r="P5" s="44">
        <v>1</v>
      </c>
      <c r="Q5" s="45">
        <v>2</v>
      </c>
      <c r="R5" s="45">
        <v>3</v>
      </c>
      <c r="S5" s="45">
        <v>4</v>
      </c>
      <c r="T5" s="45">
        <v>5</v>
      </c>
      <c r="U5" s="46" t="s">
        <v>21</v>
      </c>
    </row>
    <row r="6" spans="2:24" ht="22" thickBot="1" x14ac:dyDescent="0.3">
      <c r="B6" s="47" t="s">
        <v>8</v>
      </c>
      <c r="C6" s="48" t="s">
        <v>30</v>
      </c>
      <c r="D6" s="49">
        <v>3216.6590000000001</v>
      </c>
      <c r="E6" s="25">
        <v>2857.8989999999999</v>
      </c>
      <c r="F6" s="25">
        <v>2867.7170000000001</v>
      </c>
      <c r="G6" s="25">
        <v>2896.489</v>
      </c>
      <c r="H6" s="25">
        <v>2908.4340000000002</v>
      </c>
      <c r="I6" s="37">
        <f t="shared" ref="I6:I12" si="0">AVERAGE(D6:H6)</f>
        <v>2949.4396000000002</v>
      </c>
      <c r="J6" s="49">
        <v>49995000</v>
      </c>
      <c r="K6" s="25">
        <v>49995000</v>
      </c>
      <c r="L6" s="25">
        <v>49995000</v>
      </c>
      <c r="M6" s="25">
        <v>49995000</v>
      </c>
      <c r="N6" s="25">
        <v>49995000</v>
      </c>
      <c r="O6" s="37">
        <f>AVERAGE(J6:N6)</f>
        <v>49995000</v>
      </c>
      <c r="P6" s="49">
        <v>75298851</v>
      </c>
      <c r="Q6" s="25">
        <v>74826453</v>
      </c>
      <c r="R6" s="25">
        <v>74277450</v>
      </c>
      <c r="S6" s="25">
        <v>75116469</v>
      </c>
      <c r="T6" s="25">
        <v>75407610</v>
      </c>
      <c r="U6" s="37">
        <f>AVERAGE(P6:T6)</f>
        <v>74985366.599999994</v>
      </c>
    </row>
    <row r="7" spans="2:24" ht="22" thickBot="1" x14ac:dyDescent="0.3">
      <c r="B7" s="50" t="s">
        <v>9</v>
      </c>
      <c r="C7" s="42" t="s">
        <v>30</v>
      </c>
      <c r="D7" s="3">
        <v>1347.91</v>
      </c>
      <c r="E7" s="10">
        <v>1346.049</v>
      </c>
      <c r="F7" s="10">
        <v>1363.058</v>
      </c>
      <c r="G7" s="10">
        <v>1383.3720000000001</v>
      </c>
      <c r="H7" s="10">
        <v>1354.432</v>
      </c>
      <c r="I7" s="37">
        <f t="shared" si="0"/>
        <v>1358.9641999999999</v>
      </c>
      <c r="J7" s="3">
        <v>49995000</v>
      </c>
      <c r="K7" s="10">
        <v>49995000</v>
      </c>
      <c r="L7" s="10">
        <v>49995000</v>
      </c>
      <c r="M7" s="10">
        <v>49995000</v>
      </c>
      <c r="N7" s="10">
        <v>49995000</v>
      </c>
      <c r="O7" s="37">
        <f t="shared" ref="O7:O13" si="1">AVERAGE(J7:N7)</f>
        <v>49995000</v>
      </c>
      <c r="P7" s="3">
        <v>30000</v>
      </c>
      <c r="Q7" s="10">
        <v>30000</v>
      </c>
      <c r="R7" s="10">
        <v>30000</v>
      </c>
      <c r="S7" s="10">
        <v>30000</v>
      </c>
      <c r="T7" s="10">
        <v>30000</v>
      </c>
      <c r="U7" s="37">
        <f t="shared" ref="U7:U13" si="2">AVERAGE(P7:T7)</f>
        <v>30000</v>
      </c>
    </row>
    <row r="8" spans="2:24" ht="22" thickBot="1" x14ac:dyDescent="0.3">
      <c r="B8" s="50" t="s">
        <v>10</v>
      </c>
      <c r="C8" s="42" t="s">
        <v>30</v>
      </c>
      <c r="D8" s="3">
        <v>1389.623</v>
      </c>
      <c r="E8" s="3">
        <v>1393.2729999999999</v>
      </c>
      <c r="F8" s="3">
        <v>1398.3789999999999</v>
      </c>
      <c r="G8" s="3">
        <v>1415.74</v>
      </c>
      <c r="H8" s="3">
        <v>1427.617</v>
      </c>
      <c r="I8" s="37">
        <f t="shared" si="0"/>
        <v>1404.9263999999998</v>
      </c>
      <c r="J8" s="3">
        <v>24808882</v>
      </c>
      <c r="K8" s="3">
        <v>24913209</v>
      </c>
      <c r="L8" s="3">
        <v>24987012</v>
      </c>
      <c r="M8" s="3">
        <v>25040789</v>
      </c>
      <c r="N8" s="3">
        <v>25116102</v>
      </c>
      <c r="O8" s="37">
        <f t="shared" si="1"/>
        <v>24973198.800000001</v>
      </c>
      <c r="P8" s="3">
        <v>24818881</v>
      </c>
      <c r="Q8" s="3">
        <v>24923208</v>
      </c>
      <c r="R8" s="3">
        <v>24997011</v>
      </c>
      <c r="S8" s="3">
        <v>25050788</v>
      </c>
      <c r="T8" s="3">
        <v>25126101</v>
      </c>
      <c r="U8" s="37">
        <f t="shared" si="2"/>
        <v>24983197.800000001</v>
      </c>
    </row>
    <row r="9" spans="2:24" ht="22" thickBot="1" x14ac:dyDescent="0.3">
      <c r="B9" s="50" t="s">
        <v>14</v>
      </c>
      <c r="C9" s="42" t="s">
        <v>30</v>
      </c>
      <c r="D9" s="3">
        <v>104.822</v>
      </c>
      <c r="E9" s="3">
        <v>104.514</v>
      </c>
      <c r="F9" s="3">
        <v>106.167</v>
      </c>
      <c r="G9" s="3">
        <v>105.277</v>
      </c>
      <c r="H9" s="3">
        <v>105.227</v>
      </c>
      <c r="I9" s="37">
        <f t="shared" si="0"/>
        <v>105.20140000000001</v>
      </c>
      <c r="J9" s="3">
        <v>116536</v>
      </c>
      <c r="K9" s="3">
        <v>116639</v>
      </c>
      <c r="L9" s="3">
        <v>116555</v>
      </c>
      <c r="M9" s="3">
        <v>116518</v>
      </c>
      <c r="N9" s="3">
        <v>116644</v>
      </c>
      <c r="O9" s="37">
        <f t="shared" si="1"/>
        <v>116578.4</v>
      </c>
      <c r="P9" s="3">
        <v>25214450</v>
      </c>
      <c r="Q9" s="3">
        <v>25163121</v>
      </c>
      <c r="R9" s="3">
        <v>25354632</v>
      </c>
      <c r="S9" s="3">
        <v>25276072</v>
      </c>
      <c r="T9" s="3">
        <v>25090632</v>
      </c>
      <c r="U9" s="37">
        <f t="shared" si="2"/>
        <v>25219781.399999999</v>
      </c>
    </row>
    <row r="10" spans="2:24" ht="22" thickBot="1" x14ac:dyDescent="0.3">
      <c r="B10" s="50" t="s">
        <v>13</v>
      </c>
      <c r="C10" s="42" t="s">
        <v>31</v>
      </c>
      <c r="D10" s="3">
        <v>8.34</v>
      </c>
      <c r="E10" s="3">
        <v>8.1940000000000008</v>
      </c>
      <c r="F10" s="3">
        <v>8.2309999999999999</v>
      </c>
      <c r="G10" s="3">
        <v>8.1649999999999991</v>
      </c>
      <c r="H10" s="3">
        <v>8.9740000000000002</v>
      </c>
      <c r="I10" s="37">
        <f t="shared" si="0"/>
        <v>8.3807999999999989</v>
      </c>
      <c r="J10" s="3">
        <v>156984</v>
      </c>
      <c r="K10" s="3">
        <v>153586</v>
      </c>
      <c r="L10" s="3">
        <v>157389</v>
      </c>
      <c r="M10" s="3">
        <v>150401</v>
      </c>
      <c r="N10" s="3">
        <v>173318</v>
      </c>
      <c r="O10" s="37">
        <f t="shared" si="1"/>
        <v>158335.6</v>
      </c>
      <c r="P10" s="3">
        <v>162552</v>
      </c>
      <c r="Q10" s="3">
        <v>159171</v>
      </c>
      <c r="R10" s="3">
        <v>162981</v>
      </c>
      <c r="S10" s="3">
        <v>155984</v>
      </c>
      <c r="T10" s="3">
        <v>178881</v>
      </c>
      <c r="U10" s="37">
        <f t="shared" si="2"/>
        <v>163913.79999999999</v>
      </c>
    </row>
    <row r="11" spans="2:24" ht="22" thickBot="1" x14ac:dyDescent="0.3">
      <c r="B11" s="67" t="s">
        <v>20</v>
      </c>
      <c r="C11" s="68" t="s">
        <v>31</v>
      </c>
      <c r="D11" s="10">
        <v>13.148</v>
      </c>
      <c r="E11" s="10">
        <v>13.128</v>
      </c>
      <c r="F11" s="10">
        <v>13.077999999999999</v>
      </c>
      <c r="G11" s="10">
        <v>12.987</v>
      </c>
      <c r="H11" s="10">
        <v>13.180999999999999</v>
      </c>
      <c r="I11" s="37">
        <f t="shared" si="0"/>
        <v>13.104400000000002</v>
      </c>
      <c r="J11" s="10">
        <v>120566</v>
      </c>
      <c r="K11" s="10">
        <v>120463</v>
      </c>
      <c r="L11" s="10">
        <v>120499</v>
      </c>
      <c r="M11" s="10">
        <v>120391</v>
      </c>
      <c r="N11" s="10">
        <v>120425</v>
      </c>
      <c r="O11" s="37">
        <f t="shared" si="1"/>
        <v>120468.8</v>
      </c>
      <c r="P11" s="10">
        <v>133616</v>
      </c>
      <c r="Q11" s="10">
        <v>133616</v>
      </c>
      <c r="R11" s="10">
        <v>133616</v>
      </c>
      <c r="S11" s="10">
        <v>133616</v>
      </c>
      <c r="T11" s="10">
        <v>133616</v>
      </c>
      <c r="U11" s="37">
        <f t="shared" si="2"/>
        <v>133616</v>
      </c>
    </row>
    <row r="12" spans="2:24" ht="22" thickBot="1" x14ac:dyDescent="0.3">
      <c r="B12" s="51" t="s">
        <v>27</v>
      </c>
      <c r="C12" s="52" t="s">
        <v>32</v>
      </c>
      <c r="D12" s="9">
        <v>8.9079999999999995</v>
      </c>
      <c r="E12" s="9">
        <v>8.875</v>
      </c>
      <c r="F12" s="9">
        <v>8.7959999999999994</v>
      </c>
      <c r="G12" s="9">
        <v>8.8840000000000003</v>
      </c>
      <c r="H12" s="9">
        <v>8.9269999999999996</v>
      </c>
      <c r="I12" s="37">
        <f t="shared" si="0"/>
        <v>8.8780000000000001</v>
      </c>
      <c r="J12" s="9">
        <v>50005</v>
      </c>
      <c r="K12" s="9">
        <v>50005</v>
      </c>
      <c r="L12" s="9">
        <v>50005</v>
      </c>
      <c r="M12" s="9">
        <v>50005</v>
      </c>
      <c r="N12" s="9">
        <v>50005</v>
      </c>
      <c r="O12" s="37">
        <f t="shared" si="1"/>
        <v>50005</v>
      </c>
      <c r="P12" s="9">
        <v>200045</v>
      </c>
      <c r="Q12" s="9">
        <v>200045</v>
      </c>
      <c r="R12" s="9">
        <v>200045</v>
      </c>
      <c r="S12" s="9">
        <v>200045</v>
      </c>
      <c r="T12" s="9">
        <v>200045</v>
      </c>
      <c r="U12" s="37">
        <f t="shared" si="2"/>
        <v>200045</v>
      </c>
    </row>
    <row r="13" spans="2:24" ht="21" x14ac:dyDescent="0.25">
      <c r="B13" s="72" t="s">
        <v>38</v>
      </c>
      <c r="C13" s="73" t="s">
        <v>31</v>
      </c>
      <c r="D13" s="12">
        <v>44.34</v>
      </c>
      <c r="E13" s="12">
        <v>41.521000000000001</v>
      </c>
      <c r="F13" s="12">
        <v>44.521999999999998</v>
      </c>
      <c r="G13" s="12">
        <v>41.417000000000002</v>
      </c>
      <c r="H13" s="12">
        <v>44.206000000000003</v>
      </c>
      <c r="I13" s="37">
        <f>AVERAGE(D13:H13)</f>
        <v>43.201200000000007</v>
      </c>
      <c r="J13" s="12">
        <v>163153</v>
      </c>
      <c r="K13" s="12">
        <v>152426</v>
      </c>
      <c r="L13" s="12">
        <v>157315</v>
      </c>
      <c r="M13" s="12">
        <v>154423</v>
      </c>
      <c r="N13" s="12">
        <v>164792</v>
      </c>
      <c r="O13" s="37">
        <f t="shared" si="1"/>
        <v>158421.79999999999</v>
      </c>
      <c r="P13" s="12">
        <v>223153</v>
      </c>
      <c r="Q13" s="12">
        <v>212426</v>
      </c>
      <c r="R13" s="12">
        <v>217315</v>
      </c>
      <c r="S13" s="12">
        <v>214423</v>
      </c>
      <c r="T13" s="12">
        <v>224792</v>
      </c>
      <c r="U13" s="37">
        <f t="shared" si="2"/>
        <v>218421.8</v>
      </c>
    </row>
    <row r="14" spans="2:24" ht="16" thickBot="1" x14ac:dyDescent="0.25"/>
    <row r="15" spans="2:24" ht="27" thickBot="1" x14ac:dyDescent="0.35">
      <c r="D15" s="77" t="s">
        <v>26</v>
      </c>
      <c r="E15" s="78"/>
      <c r="F15" s="79">
        <v>20000</v>
      </c>
      <c r="G15" s="79"/>
      <c r="H15" s="79" t="s">
        <v>25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80"/>
    </row>
    <row r="16" spans="2:24" ht="25" thickBot="1" x14ac:dyDescent="0.35">
      <c r="D16" s="74" t="s">
        <v>18</v>
      </c>
      <c r="E16" s="75"/>
      <c r="F16" s="75"/>
      <c r="G16" s="75"/>
      <c r="H16" s="75"/>
      <c r="I16" s="75"/>
      <c r="J16" s="76"/>
      <c r="K16" s="74" t="s">
        <v>2</v>
      </c>
      <c r="L16" s="75"/>
      <c r="M16" s="75"/>
      <c r="N16" s="75"/>
      <c r="O16" s="75"/>
      <c r="P16" s="75"/>
      <c r="Q16" s="76"/>
      <c r="R16" s="74" t="s">
        <v>15</v>
      </c>
      <c r="S16" s="75"/>
      <c r="T16" s="75"/>
      <c r="U16" s="75"/>
      <c r="V16" s="75"/>
      <c r="W16" s="75"/>
      <c r="X16" s="76"/>
    </row>
    <row r="17" spans="2:24" ht="35" thickBot="1" x14ac:dyDescent="0.25">
      <c r="B17" s="43" t="s">
        <v>16</v>
      </c>
      <c r="C17" s="32" t="s">
        <v>17</v>
      </c>
      <c r="D17" s="53" t="s">
        <v>22</v>
      </c>
      <c r="E17" s="54">
        <v>1</v>
      </c>
      <c r="F17" s="54">
        <v>2</v>
      </c>
      <c r="G17" s="54">
        <v>3</v>
      </c>
      <c r="H17" s="54">
        <v>4</v>
      </c>
      <c r="I17" s="54">
        <v>5</v>
      </c>
      <c r="J17" s="55" t="s">
        <v>21</v>
      </c>
      <c r="K17" s="53" t="s">
        <v>22</v>
      </c>
      <c r="L17" s="54">
        <v>1</v>
      </c>
      <c r="M17" s="54">
        <v>2</v>
      </c>
      <c r="N17" s="54">
        <v>3</v>
      </c>
      <c r="O17" s="54">
        <v>4</v>
      </c>
      <c r="P17" s="54">
        <v>5</v>
      </c>
      <c r="Q17" s="55" t="s">
        <v>21</v>
      </c>
      <c r="R17" s="53" t="s">
        <v>22</v>
      </c>
      <c r="S17" s="54">
        <v>1</v>
      </c>
      <c r="T17" s="54">
        <v>2</v>
      </c>
      <c r="U17" s="54">
        <v>3</v>
      </c>
      <c r="V17" s="54">
        <v>4</v>
      </c>
      <c r="W17" s="54">
        <v>5</v>
      </c>
      <c r="X17" s="55" t="s">
        <v>21</v>
      </c>
    </row>
    <row r="18" spans="2:24" ht="21" x14ac:dyDescent="0.25">
      <c r="B18" s="47" t="s">
        <v>8</v>
      </c>
      <c r="C18" s="48" t="s">
        <v>30</v>
      </c>
      <c r="D18" s="56">
        <f>I6 * (F15^2 / F3^2)</f>
        <v>11797.758400000001</v>
      </c>
      <c r="E18" s="19">
        <v>13053.611999999999</v>
      </c>
      <c r="F18" s="19">
        <v>11852.800999999999</v>
      </c>
      <c r="G18" s="19">
        <v>11972.876</v>
      </c>
      <c r="H18" s="19">
        <v>11940.294</v>
      </c>
      <c r="I18" s="19">
        <v>11921.656999999999</v>
      </c>
      <c r="J18" s="57">
        <f>AVERAGE(E18:I18)</f>
        <v>12148.248000000001</v>
      </c>
      <c r="K18" s="60">
        <f>O6 * (F15^2 / F3^2)</f>
        <v>199980000</v>
      </c>
      <c r="L18" s="19">
        <v>199990000</v>
      </c>
      <c r="M18" s="19">
        <v>199990000</v>
      </c>
      <c r="N18" s="19">
        <v>199990000</v>
      </c>
      <c r="O18" s="19">
        <v>199990000</v>
      </c>
      <c r="P18" s="19">
        <v>199990000</v>
      </c>
      <c r="Q18" s="57">
        <f>AVERAGE(L18:P18)</f>
        <v>199990000</v>
      </c>
      <c r="R18" s="60">
        <f>U6 * (F15^2 / F3^2)</f>
        <v>299941466.39999998</v>
      </c>
      <c r="S18" s="19">
        <v>299328768</v>
      </c>
      <c r="T18" s="19">
        <v>300232512</v>
      </c>
      <c r="U18" s="19">
        <v>301014108</v>
      </c>
      <c r="V18" s="19">
        <v>298758687</v>
      </c>
      <c r="W18" s="19">
        <v>303267030</v>
      </c>
      <c r="X18" s="57">
        <f>AVERAGE(S18:W18)</f>
        <v>300520221</v>
      </c>
    </row>
    <row r="19" spans="2:24" ht="21" x14ac:dyDescent="0.25">
      <c r="B19" s="50" t="s">
        <v>9</v>
      </c>
      <c r="C19" s="42" t="s">
        <v>30</v>
      </c>
      <c r="D19" s="58">
        <f>I7 * (F15^2 / F3^2)</f>
        <v>5435.8567999999996</v>
      </c>
      <c r="E19" s="1">
        <v>5429.46</v>
      </c>
      <c r="F19" s="1">
        <v>5461.6930000000002</v>
      </c>
      <c r="G19" s="1">
        <v>5479.5479999999998</v>
      </c>
      <c r="H19" s="1">
        <v>5503.817</v>
      </c>
      <c r="I19" s="1">
        <v>5541.9620000000004</v>
      </c>
      <c r="J19" s="57">
        <f t="shared" ref="J19:J25" si="3">AVERAGE(E19:I19)</f>
        <v>5483.2960000000003</v>
      </c>
      <c r="K19" s="4">
        <f>O7 * (F15^2 / F3^2)</f>
        <v>199980000</v>
      </c>
      <c r="L19" s="1">
        <v>199990000</v>
      </c>
      <c r="M19" s="1">
        <v>199990000</v>
      </c>
      <c r="N19" s="1">
        <v>199990000</v>
      </c>
      <c r="O19" s="1">
        <v>199990000</v>
      </c>
      <c r="P19" s="1">
        <v>199990000</v>
      </c>
      <c r="Q19" s="57">
        <f t="shared" ref="Q19:Q25" si="4">AVERAGE(L19:P19)</f>
        <v>199990000</v>
      </c>
      <c r="R19" s="4">
        <f>U7 * (F15 / F3)</f>
        <v>60000</v>
      </c>
      <c r="S19" s="1">
        <v>199990000</v>
      </c>
      <c r="T19" s="1">
        <v>199990000</v>
      </c>
      <c r="U19" s="1">
        <v>199990000</v>
      </c>
      <c r="V19" s="1">
        <v>199990000</v>
      </c>
      <c r="W19" s="1">
        <v>199990000</v>
      </c>
      <c r="X19" s="57">
        <f t="shared" ref="X19:X25" si="5">AVERAGE(S19:W19)</f>
        <v>199990000</v>
      </c>
    </row>
    <row r="20" spans="2:24" ht="21" x14ac:dyDescent="0.25">
      <c r="B20" s="50" t="s">
        <v>10</v>
      </c>
      <c r="C20" s="42" t="s">
        <v>30</v>
      </c>
      <c r="D20" s="58">
        <f>I8 * (F15^2 / F3^2)</f>
        <v>5619.7055999999993</v>
      </c>
      <c r="E20" s="1">
        <v>5729.6189999999997</v>
      </c>
      <c r="F20" s="1">
        <v>5697.2979999999998</v>
      </c>
      <c r="G20" s="1">
        <v>5677.4579999999996</v>
      </c>
      <c r="H20" s="1">
        <v>5698.8339999999998</v>
      </c>
      <c r="I20" s="1">
        <v>5670.2070000000003</v>
      </c>
      <c r="J20" s="57">
        <f t="shared" si="3"/>
        <v>5694.6831999999995</v>
      </c>
      <c r="K20" s="4">
        <f>O8 * (F15^2 / F3^2)</f>
        <v>99892795.200000003</v>
      </c>
      <c r="L20" s="1">
        <v>100960509</v>
      </c>
      <c r="M20" s="1">
        <v>100319405</v>
      </c>
      <c r="N20" s="1">
        <v>99705239</v>
      </c>
      <c r="O20" s="1">
        <v>100343373</v>
      </c>
      <c r="P20" s="1">
        <v>100170307</v>
      </c>
      <c r="Q20" s="57">
        <f t="shared" si="4"/>
        <v>100299766.59999999</v>
      </c>
      <c r="R20" s="4">
        <f>U8 * (F15^2 / F3^2)</f>
        <v>99932791.200000003</v>
      </c>
      <c r="S20" s="1">
        <v>100980508</v>
      </c>
      <c r="T20" s="1">
        <v>100339404</v>
      </c>
      <c r="U20" s="1">
        <v>99725238</v>
      </c>
      <c r="V20" s="1">
        <v>100363372</v>
      </c>
      <c r="W20" s="1">
        <v>100190306</v>
      </c>
      <c r="X20" s="57">
        <f t="shared" si="5"/>
        <v>100319765.59999999</v>
      </c>
    </row>
    <row r="21" spans="2:24" ht="21" x14ac:dyDescent="0.25">
      <c r="B21" s="50" t="s">
        <v>14</v>
      </c>
      <c r="C21" s="42" t="s">
        <v>30</v>
      </c>
      <c r="D21" s="58">
        <f>I9 * (F15*LN(F15) / (F3*LN(F3)))</f>
        <v>226.2371884929224</v>
      </c>
      <c r="E21" s="1">
        <v>441.71600000000001</v>
      </c>
      <c r="F21" s="1">
        <v>442.68599999999998</v>
      </c>
      <c r="G21" s="1">
        <v>443.17599999999999</v>
      </c>
      <c r="H21" s="1">
        <v>438.66300000000001</v>
      </c>
      <c r="I21" s="1">
        <v>439.01100000000002</v>
      </c>
      <c r="J21" s="57">
        <f t="shared" si="3"/>
        <v>441.05039999999997</v>
      </c>
      <c r="K21" s="4">
        <f>O9 * (F15*LN(F15) / (F3*LN(F3)))</f>
        <v>250703.59762325694</v>
      </c>
      <c r="L21" s="1">
        <v>248159</v>
      </c>
      <c r="M21" s="1">
        <v>248295</v>
      </c>
      <c r="N21" s="1">
        <v>248285</v>
      </c>
      <c r="O21" s="1">
        <v>248541</v>
      </c>
      <c r="P21" s="1">
        <v>248347</v>
      </c>
      <c r="Q21" s="57">
        <f t="shared" si="4"/>
        <v>248325.4</v>
      </c>
      <c r="R21" s="4">
        <f>U9 * (F15^2 / F3^2)</f>
        <v>100879125.59999999</v>
      </c>
      <c r="S21" s="1">
        <v>99996011</v>
      </c>
      <c r="T21" s="1">
        <v>99698851</v>
      </c>
      <c r="U21" s="1">
        <v>100274824</v>
      </c>
      <c r="V21" s="1">
        <v>99223662</v>
      </c>
      <c r="W21" s="1">
        <v>99790761</v>
      </c>
      <c r="X21" s="57">
        <f t="shared" si="5"/>
        <v>99796821.799999997</v>
      </c>
    </row>
    <row r="22" spans="2:24" ht="21" x14ac:dyDescent="0.25">
      <c r="B22" s="50" t="s">
        <v>13</v>
      </c>
      <c r="C22" s="42" t="s">
        <v>31</v>
      </c>
      <c r="D22" s="58">
        <f>I10 * (F15*LN(F15) / (F3*LN(F3)))</f>
        <v>18.023036093830346</v>
      </c>
      <c r="E22" s="1">
        <v>17.260999999999999</v>
      </c>
      <c r="F22" s="1">
        <v>17.552</v>
      </c>
      <c r="G22" s="1">
        <v>16.606000000000002</v>
      </c>
      <c r="H22" s="1">
        <v>16.52</v>
      </c>
      <c r="I22" s="1">
        <v>16.385000000000002</v>
      </c>
      <c r="J22" s="57">
        <f t="shared" si="3"/>
        <v>16.864800000000002</v>
      </c>
      <c r="K22" s="4">
        <f>O10 * (F15*LN(F15) / (F3*LN(F3)))</f>
        <v>340503.08249072696</v>
      </c>
      <c r="L22" s="1">
        <v>337111</v>
      </c>
      <c r="M22" s="1">
        <v>348234</v>
      </c>
      <c r="N22" s="1">
        <v>323561</v>
      </c>
      <c r="O22" s="1">
        <v>320001</v>
      </c>
      <c r="P22" s="1">
        <v>318635</v>
      </c>
      <c r="Q22" s="57">
        <f t="shared" si="4"/>
        <v>329508.40000000002</v>
      </c>
      <c r="R22" s="4">
        <f>U10 * (F15*LN(F15) / (F3*LN(F3)))</f>
        <v>352499.08525163331</v>
      </c>
      <c r="S22" s="1">
        <v>346663</v>
      </c>
      <c r="T22" s="1">
        <v>357732</v>
      </c>
      <c r="U22" s="1">
        <v>333179</v>
      </c>
      <c r="V22" s="1">
        <v>329457</v>
      </c>
      <c r="W22" s="1">
        <v>328160</v>
      </c>
      <c r="X22" s="57">
        <f t="shared" si="5"/>
        <v>339038.2</v>
      </c>
    </row>
    <row r="23" spans="2:24" ht="21" x14ac:dyDescent="0.25">
      <c r="B23" s="67" t="s">
        <v>20</v>
      </c>
      <c r="C23" s="68" t="s">
        <v>31</v>
      </c>
      <c r="D23" s="69">
        <f>I11 * (F15*LN(F15) / (F3*LN(F3)))</f>
        <v>28.181208737589543</v>
      </c>
      <c r="E23" s="17">
        <v>28.204000000000001</v>
      </c>
      <c r="F23" s="17">
        <v>27.553999999999998</v>
      </c>
      <c r="G23" s="17">
        <v>27.420999999999999</v>
      </c>
      <c r="H23" s="17">
        <v>28.013000000000002</v>
      </c>
      <c r="I23" s="17">
        <v>28.045000000000002</v>
      </c>
      <c r="J23" s="57">
        <f t="shared" si="3"/>
        <v>27.847400000000004</v>
      </c>
      <c r="K23" s="70">
        <f>O11 * (F15*LN(F15) / (F3*LN(F3)))</f>
        <v>259069.96117082253</v>
      </c>
      <c r="L23" s="17">
        <v>260892</v>
      </c>
      <c r="M23" s="17">
        <v>260901</v>
      </c>
      <c r="N23" s="17">
        <v>261004</v>
      </c>
      <c r="O23" s="17">
        <v>260850</v>
      </c>
      <c r="P23" s="17">
        <v>261005</v>
      </c>
      <c r="Q23" s="57">
        <f t="shared" si="4"/>
        <v>260930.4</v>
      </c>
      <c r="R23" s="70">
        <f>U11 * (F15*LN(F15) / (F3*LN(F3)))</f>
        <v>287343.21195031924</v>
      </c>
      <c r="S23" s="17">
        <v>287232</v>
      </c>
      <c r="T23" s="17">
        <v>287232</v>
      </c>
      <c r="U23" s="17">
        <v>287232</v>
      </c>
      <c r="V23" s="17">
        <v>287232</v>
      </c>
      <c r="W23" s="17">
        <v>287232</v>
      </c>
      <c r="X23" s="57">
        <f t="shared" si="5"/>
        <v>287232</v>
      </c>
    </row>
    <row r="24" spans="2:24" ht="22" thickBot="1" x14ac:dyDescent="0.3">
      <c r="B24" s="51" t="s">
        <v>27</v>
      </c>
      <c r="C24" s="52" t="s">
        <v>32</v>
      </c>
      <c r="D24" s="59">
        <f>I12 * (F15*LOG10(F15) / (F3*LOG10(F3)))</f>
        <v>19.092272150752414</v>
      </c>
      <c r="E24" s="7">
        <v>17.632999999999999</v>
      </c>
      <c r="F24" s="7">
        <v>17.619</v>
      </c>
      <c r="G24" s="7">
        <v>17.538</v>
      </c>
      <c r="H24" s="7">
        <v>17.611999999999998</v>
      </c>
      <c r="I24" s="7">
        <v>17.565000000000001</v>
      </c>
      <c r="J24" s="57">
        <f t="shared" si="3"/>
        <v>17.593399999999995</v>
      </c>
      <c r="K24" s="6"/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57">
        <f t="shared" si="4"/>
        <v>0</v>
      </c>
      <c r="R24" s="6">
        <f>U12 * (F15 / F3)</f>
        <v>400090</v>
      </c>
      <c r="S24" s="7">
        <v>400045</v>
      </c>
      <c r="T24" s="7">
        <v>400045</v>
      </c>
      <c r="U24" s="7">
        <v>400045</v>
      </c>
      <c r="V24" s="7">
        <v>400045</v>
      </c>
      <c r="W24" s="7">
        <v>400045</v>
      </c>
      <c r="X24" s="57">
        <f t="shared" si="5"/>
        <v>400045</v>
      </c>
    </row>
    <row r="25" spans="2:24" ht="21" x14ac:dyDescent="0.25">
      <c r="B25" s="72" t="s">
        <v>38</v>
      </c>
      <c r="C25" s="73" t="s">
        <v>31</v>
      </c>
      <c r="D25">
        <f>AVERAGE(D13:H13)*(20000*LN(20000))/(10000*LN(10000))</f>
        <v>92.904828524339393</v>
      </c>
      <c r="E25" s="18">
        <v>75.572999999999993</v>
      </c>
      <c r="F25" s="18">
        <v>80.728999999999999</v>
      </c>
      <c r="G25" s="18">
        <v>79.248999999999995</v>
      </c>
      <c r="H25" s="18">
        <v>78.236999999999995</v>
      </c>
      <c r="I25" s="18">
        <v>75.629000000000005</v>
      </c>
      <c r="J25" s="57">
        <f t="shared" si="3"/>
        <v>77.883400000000009</v>
      </c>
      <c r="K25">
        <f>AVERAGE(J13:N13)*(20000*LN(20000))/(10000*LN(10000))</f>
        <v>340688.45688353997</v>
      </c>
      <c r="L25" s="18">
        <v>335070</v>
      </c>
      <c r="M25" s="18">
        <v>374660</v>
      </c>
      <c r="N25" s="18">
        <v>370984</v>
      </c>
      <c r="O25" s="18">
        <v>360943</v>
      </c>
      <c r="P25" s="18">
        <v>337527</v>
      </c>
      <c r="Q25" s="57">
        <f t="shared" si="4"/>
        <v>355836.8</v>
      </c>
      <c r="R25">
        <f>AVERAGE(P13:T13)*(20000*LN(20000))/(10000*LN(10000))</f>
        <v>469719.35675345943</v>
      </c>
      <c r="S25" s="18">
        <v>455070</v>
      </c>
      <c r="T25" s="18">
        <v>494660</v>
      </c>
      <c r="U25" s="18">
        <v>490984</v>
      </c>
      <c r="V25" s="18">
        <v>480943</v>
      </c>
      <c r="W25" s="18">
        <v>457527</v>
      </c>
      <c r="X25" s="57">
        <f t="shared" si="5"/>
        <v>475836.8</v>
      </c>
    </row>
    <row r="42" spans="3:21" x14ac:dyDescent="0.2">
      <c r="C42" s="26">
        <v>136202400</v>
      </c>
      <c r="D42" s="26">
        <v>119578900</v>
      </c>
      <c r="E42" s="26"/>
      <c r="F42" s="26"/>
      <c r="G42" s="26"/>
      <c r="H42" s="26"/>
      <c r="I42" s="26">
        <v>112510500</v>
      </c>
      <c r="J42" s="26">
        <v>119578900</v>
      </c>
      <c r="K42" s="26"/>
      <c r="L42" s="26"/>
      <c r="M42" s="26"/>
      <c r="N42" s="26"/>
      <c r="O42" s="26">
        <v>112510500</v>
      </c>
      <c r="P42" s="26">
        <v>119578900</v>
      </c>
      <c r="Q42" s="26"/>
      <c r="R42" s="26"/>
      <c r="S42" s="26"/>
      <c r="T42" s="26"/>
      <c r="U42" s="26">
        <v>112510500</v>
      </c>
    </row>
    <row r="43" spans="3:21" x14ac:dyDescent="0.2">
      <c r="C43" s="26">
        <v>219679200</v>
      </c>
      <c r="D43" s="26">
        <v>199543000</v>
      </c>
      <c r="E43" s="26"/>
      <c r="F43" s="26"/>
      <c r="G43" s="26"/>
      <c r="H43" s="26"/>
      <c r="I43" s="26">
        <v>99809600</v>
      </c>
      <c r="J43" s="26">
        <v>199543000</v>
      </c>
      <c r="K43" s="26"/>
      <c r="L43" s="26"/>
      <c r="M43" s="26"/>
      <c r="N43" s="26"/>
      <c r="O43" s="26">
        <v>99809600</v>
      </c>
      <c r="P43" s="26">
        <v>199543000</v>
      </c>
      <c r="Q43" s="26"/>
      <c r="R43" s="26"/>
      <c r="S43" s="26"/>
      <c r="T43" s="26"/>
      <c r="U43" s="26">
        <v>99809600</v>
      </c>
    </row>
    <row r="44" spans="3:21" x14ac:dyDescent="0.2">
      <c r="C44" s="26">
        <v>115686400</v>
      </c>
      <c r="D44" s="26">
        <v>91045300</v>
      </c>
      <c r="E44" s="26"/>
      <c r="F44" s="26"/>
      <c r="G44" s="26"/>
      <c r="H44" s="26"/>
      <c r="I44" s="26">
        <v>75313700</v>
      </c>
      <c r="J44" s="26">
        <v>91045300</v>
      </c>
      <c r="K44" s="26"/>
      <c r="L44" s="26"/>
      <c r="M44" s="26"/>
      <c r="N44" s="26"/>
      <c r="O44" s="26">
        <v>75313700</v>
      </c>
      <c r="P44" s="26">
        <v>91045300</v>
      </c>
      <c r="Q44" s="26"/>
      <c r="R44" s="26"/>
      <c r="S44" s="26"/>
      <c r="T44" s="26"/>
      <c r="U44" s="26">
        <v>75313700</v>
      </c>
    </row>
    <row r="45" spans="3:21" x14ac:dyDescent="0.2">
      <c r="C45" s="26">
        <v>101113500</v>
      </c>
      <c r="D45" s="26">
        <v>84692200</v>
      </c>
      <c r="E45" s="26"/>
      <c r="F45" s="26"/>
      <c r="G45" s="26"/>
      <c r="H45" s="26"/>
      <c r="I45" s="26">
        <v>67565400</v>
      </c>
      <c r="J45" s="26">
        <v>84692200</v>
      </c>
      <c r="K45" s="26"/>
      <c r="L45" s="26"/>
      <c r="M45" s="26"/>
      <c r="N45" s="26"/>
      <c r="O45" s="26">
        <v>67565400</v>
      </c>
      <c r="P45" s="26">
        <v>84692200</v>
      </c>
      <c r="Q45" s="26"/>
      <c r="R45" s="26"/>
      <c r="S45" s="26"/>
      <c r="T45" s="26"/>
      <c r="U45" s="26">
        <v>67565400</v>
      </c>
    </row>
    <row r="46" spans="3:21" x14ac:dyDescent="0.2">
      <c r="C46" s="26">
        <v>82151000</v>
      </c>
      <c r="D46" s="26">
        <v>68291900</v>
      </c>
      <c r="E46" s="26"/>
      <c r="F46" s="26"/>
      <c r="G46" s="26"/>
      <c r="H46" s="26"/>
      <c r="I46" s="26">
        <v>32426900</v>
      </c>
      <c r="J46" s="26">
        <v>68291900</v>
      </c>
      <c r="K46" s="26"/>
      <c r="L46" s="26"/>
      <c r="M46" s="26"/>
      <c r="N46" s="26"/>
      <c r="O46" s="26">
        <v>32426900</v>
      </c>
      <c r="P46" s="26">
        <v>68291900</v>
      </c>
      <c r="Q46" s="26"/>
      <c r="R46" s="26"/>
      <c r="S46" s="26"/>
      <c r="T46" s="26"/>
      <c r="U46" s="26">
        <v>32426900</v>
      </c>
    </row>
    <row r="47" spans="3:21" x14ac:dyDescent="0.2">
      <c r="C47" s="26">
        <v>37723100</v>
      </c>
      <c r="D47" s="26">
        <v>23003100</v>
      </c>
      <c r="E47" s="26"/>
      <c r="F47" s="26"/>
      <c r="G47" s="26"/>
      <c r="H47" s="26"/>
      <c r="I47" s="26">
        <v>18671200</v>
      </c>
      <c r="J47" s="26">
        <v>23003100</v>
      </c>
      <c r="K47" s="26"/>
      <c r="L47" s="26"/>
      <c r="M47" s="26"/>
      <c r="N47" s="26"/>
      <c r="O47" s="26">
        <v>18671200</v>
      </c>
      <c r="P47" s="26">
        <v>23003100</v>
      </c>
      <c r="Q47" s="26"/>
      <c r="R47" s="26"/>
      <c r="S47" s="26"/>
      <c r="T47" s="26"/>
      <c r="U47" s="26">
        <v>18671200</v>
      </c>
    </row>
    <row r="48" spans="3:21" x14ac:dyDescent="0.2">
      <c r="C48" s="26">
        <v>8326500</v>
      </c>
      <c r="D48" s="26">
        <v>1216100</v>
      </c>
      <c r="E48" s="26"/>
      <c r="F48" s="26"/>
      <c r="G48" s="26"/>
      <c r="H48" s="26"/>
      <c r="I48" s="26">
        <v>943800</v>
      </c>
      <c r="J48" s="26">
        <v>1216100</v>
      </c>
      <c r="K48" s="26"/>
      <c r="L48" s="26"/>
      <c r="M48" s="26"/>
      <c r="N48" s="26"/>
      <c r="O48" s="26">
        <v>943800</v>
      </c>
      <c r="P48" s="26">
        <v>1216100</v>
      </c>
      <c r="Q48" s="26"/>
      <c r="R48" s="26"/>
      <c r="S48" s="26"/>
      <c r="T48" s="26"/>
      <c r="U48" s="26">
        <v>943800</v>
      </c>
    </row>
    <row r="49" spans="3:21" x14ac:dyDescent="0.2">
      <c r="C49" s="26">
        <v>33172600</v>
      </c>
      <c r="D49" s="26">
        <v>37268800</v>
      </c>
      <c r="E49" s="26"/>
      <c r="F49" s="26"/>
      <c r="G49" s="26"/>
      <c r="H49" s="26"/>
      <c r="I49" s="26">
        <v>8325400</v>
      </c>
      <c r="J49" s="26">
        <v>37268800</v>
      </c>
      <c r="K49" s="26"/>
      <c r="L49" s="26"/>
      <c r="M49" s="26"/>
      <c r="N49" s="26"/>
      <c r="O49" s="26">
        <v>8325400</v>
      </c>
      <c r="P49" s="26">
        <v>37268800</v>
      </c>
      <c r="Q49" s="26"/>
      <c r="R49" s="26"/>
      <c r="S49" s="26"/>
      <c r="T49" s="26"/>
      <c r="U49" s="26">
        <v>8325400</v>
      </c>
    </row>
    <row r="50" spans="3:21" x14ac:dyDescent="0.2">
      <c r="C50" s="26">
        <v>2257500</v>
      </c>
      <c r="D50" s="26">
        <v>666300</v>
      </c>
      <c r="E50" s="26"/>
      <c r="F50" s="26"/>
      <c r="G50" s="26"/>
      <c r="H50" s="26"/>
      <c r="I50" s="26">
        <v>591000</v>
      </c>
      <c r="J50" s="26">
        <v>666300</v>
      </c>
      <c r="K50" s="26"/>
      <c r="L50" s="26"/>
      <c r="M50" s="26"/>
      <c r="N50" s="26"/>
      <c r="O50" s="26">
        <v>591000</v>
      </c>
      <c r="P50" s="26">
        <v>666300</v>
      </c>
      <c r="Q50" s="26"/>
      <c r="R50" s="26"/>
      <c r="S50" s="26"/>
      <c r="T50" s="26"/>
      <c r="U50" s="26">
        <v>591000</v>
      </c>
    </row>
    <row r="51" spans="3:21" x14ac:dyDescent="0.2"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 spans="3:21" x14ac:dyDescent="0.2">
      <c r="C52" s="26">
        <v>14301486000</v>
      </c>
      <c r="D52" s="26">
        <v>14378190400</v>
      </c>
      <c r="E52" s="26"/>
      <c r="F52" s="26"/>
      <c r="G52" s="26"/>
      <c r="H52" s="26"/>
      <c r="I52" s="26">
        <v>14306071200</v>
      </c>
      <c r="J52" s="26">
        <v>14378190400</v>
      </c>
      <c r="K52" s="26"/>
      <c r="L52" s="26"/>
      <c r="M52" s="26"/>
      <c r="N52" s="26"/>
      <c r="O52" s="26">
        <v>14306071200</v>
      </c>
      <c r="P52" s="26">
        <v>14378190400</v>
      </c>
      <c r="Q52" s="26"/>
      <c r="R52" s="26"/>
      <c r="S52" s="26"/>
      <c r="T52" s="26"/>
      <c r="U52" s="26">
        <v>14306071200</v>
      </c>
    </row>
    <row r="53" spans="3:21" x14ac:dyDescent="0.2">
      <c r="C53" s="26">
        <v>12933515700</v>
      </c>
      <c r="D53" s="26">
        <v>12962547400</v>
      </c>
      <c r="E53" s="26"/>
      <c r="F53" s="26"/>
      <c r="G53" s="26"/>
      <c r="H53" s="26"/>
      <c r="I53" s="26">
        <v>12900347400</v>
      </c>
      <c r="J53" s="26">
        <v>12962547400</v>
      </c>
      <c r="K53" s="26"/>
      <c r="L53" s="26"/>
      <c r="M53" s="26"/>
      <c r="N53" s="26"/>
      <c r="O53" s="26">
        <v>12900347400</v>
      </c>
      <c r="P53" s="26">
        <v>12962547400</v>
      </c>
      <c r="Q53" s="26"/>
      <c r="R53" s="26"/>
      <c r="S53" s="26"/>
      <c r="T53" s="26"/>
      <c r="U53" s="26">
        <v>12900347400</v>
      </c>
    </row>
    <row r="54" spans="3:21" x14ac:dyDescent="0.2">
      <c r="C54" s="26">
        <v>8888055300</v>
      </c>
      <c r="D54" s="26">
        <v>8889923900</v>
      </c>
      <c r="E54" s="26"/>
      <c r="F54" s="26"/>
      <c r="G54" s="26"/>
      <c r="H54" s="26"/>
      <c r="I54" s="26">
        <v>8872204000</v>
      </c>
      <c r="J54" s="26">
        <v>8889923900</v>
      </c>
      <c r="K54" s="26"/>
      <c r="L54" s="26"/>
      <c r="M54" s="26"/>
      <c r="N54" s="26"/>
      <c r="O54" s="26">
        <v>8872204000</v>
      </c>
      <c r="P54" s="26">
        <v>8889923900</v>
      </c>
      <c r="Q54" s="26"/>
      <c r="R54" s="26"/>
      <c r="S54" s="26"/>
      <c r="T54" s="26"/>
      <c r="U54" s="26">
        <v>8872204000</v>
      </c>
    </row>
    <row r="55" spans="3:21" x14ac:dyDescent="0.2">
      <c r="C55" s="26">
        <v>8525859400</v>
      </c>
      <c r="D55" s="26">
        <v>8493149900</v>
      </c>
      <c r="E55" s="26"/>
      <c r="F55" s="26"/>
      <c r="G55" s="26"/>
      <c r="H55" s="26"/>
      <c r="I55" s="26">
        <v>8445180500</v>
      </c>
      <c r="J55" s="26">
        <v>8493149900</v>
      </c>
      <c r="K55" s="26"/>
      <c r="L55" s="26"/>
      <c r="M55" s="26"/>
      <c r="N55" s="26"/>
      <c r="O55" s="26">
        <v>8445180500</v>
      </c>
      <c r="P55" s="26">
        <v>8493149900</v>
      </c>
      <c r="Q55" s="26"/>
      <c r="R55" s="26"/>
      <c r="S55" s="26"/>
      <c r="T55" s="26"/>
      <c r="U55" s="26">
        <v>8445180500</v>
      </c>
    </row>
    <row r="56" spans="3:21" x14ac:dyDescent="0.2">
      <c r="C56" s="26">
        <v>3304466300</v>
      </c>
      <c r="D56" s="26">
        <v>3221139700</v>
      </c>
      <c r="E56" s="26"/>
      <c r="F56" s="26"/>
      <c r="G56" s="26"/>
      <c r="H56" s="26"/>
      <c r="I56" s="26">
        <v>3223687400</v>
      </c>
      <c r="J56" s="26">
        <v>3221139700</v>
      </c>
      <c r="K56" s="26"/>
      <c r="L56" s="26"/>
      <c r="M56" s="26"/>
      <c r="N56" s="26"/>
      <c r="O56" s="26">
        <v>3223687400</v>
      </c>
      <c r="P56" s="26">
        <v>3221139700</v>
      </c>
      <c r="Q56" s="26"/>
      <c r="R56" s="26"/>
      <c r="S56" s="26"/>
      <c r="T56" s="26"/>
      <c r="U56" s="26">
        <v>3223687400</v>
      </c>
    </row>
    <row r="57" spans="3:21" x14ac:dyDescent="0.2">
      <c r="C57" s="26">
        <v>2042394800</v>
      </c>
      <c r="D57" s="26">
        <v>2038720300</v>
      </c>
      <c r="E57" s="26"/>
      <c r="F57" s="26"/>
      <c r="G57" s="26"/>
      <c r="H57" s="26"/>
      <c r="I57" s="26">
        <v>2024537300</v>
      </c>
      <c r="J57" s="26">
        <v>2038720300</v>
      </c>
      <c r="K57" s="26"/>
      <c r="L57" s="26"/>
      <c r="M57" s="26"/>
      <c r="N57" s="26"/>
      <c r="O57" s="26">
        <v>2024537300</v>
      </c>
      <c r="P57" s="26">
        <v>2038720300</v>
      </c>
      <c r="Q57" s="26"/>
      <c r="R57" s="26"/>
      <c r="S57" s="26"/>
      <c r="T57" s="26"/>
      <c r="U57" s="26">
        <v>2024537300</v>
      </c>
    </row>
    <row r="58" spans="3:21" x14ac:dyDescent="0.2">
      <c r="C58" s="26">
        <v>13600800</v>
      </c>
      <c r="D58" s="26">
        <v>13825600</v>
      </c>
      <c r="E58" s="26"/>
      <c r="F58" s="26"/>
      <c r="G58" s="26"/>
      <c r="H58" s="26"/>
      <c r="I58" s="26">
        <v>13608200</v>
      </c>
      <c r="J58" s="26">
        <v>13825600</v>
      </c>
      <c r="K58" s="26"/>
      <c r="L58" s="26"/>
      <c r="M58" s="26"/>
      <c r="N58" s="26"/>
      <c r="O58" s="26">
        <v>13608200</v>
      </c>
      <c r="P58" s="26">
        <v>13825600</v>
      </c>
      <c r="Q58" s="26"/>
      <c r="R58" s="26"/>
      <c r="S58" s="26"/>
      <c r="T58" s="26"/>
      <c r="U58" s="26">
        <v>13608200</v>
      </c>
    </row>
    <row r="59" spans="3:21" x14ac:dyDescent="0.2">
      <c r="C59" s="26">
        <v>784349700</v>
      </c>
      <c r="D59" s="26">
        <v>807436400</v>
      </c>
      <c r="E59" s="26"/>
      <c r="F59" s="26"/>
      <c r="G59" s="26"/>
      <c r="H59" s="26"/>
      <c r="I59" s="26">
        <v>788506400</v>
      </c>
      <c r="J59" s="26">
        <v>807436400</v>
      </c>
      <c r="K59" s="26"/>
      <c r="L59" s="26"/>
      <c r="M59" s="26"/>
      <c r="N59" s="26"/>
      <c r="O59" s="26">
        <v>788506400</v>
      </c>
      <c r="P59" s="26">
        <v>807436400</v>
      </c>
      <c r="Q59" s="26"/>
      <c r="R59" s="26"/>
      <c r="S59" s="26"/>
      <c r="T59" s="26"/>
      <c r="U59" s="26">
        <v>788506400</v>
      </c>
    </row>
    <row r="60" spans="3:21" x14ac:dyDescent="0.2">
      <c r="C60" s="26">
        <v>7179500</v>
      </c>
      <c r="D60" s="26">
        <v>7528600</v>
      </c>
      <c r="E60" s="26"/>
      <c r="F60" s="26"/>
      <c r="G60" s="26"/>
      <c r="H60" s="26"/>
      <c r="I60" s="26">
        <v>7454100</v>
      </c>
      <c r="J60" s="26">
        <v>7528600</v>
      </c>
      <c r="K60" s="26"/>
      <c r="L60" s="26"/>
      <c r="M60" s="26"/>
      <c r="N60" s="26"/>
      <c r="O60" s="26">
        <v>7454100</v>
      </c>
      <c r="P60" s="26">
        <v>7528600</v>
      </c>
      <c r="Q60" s="26"/>
      <c r="R60" s="26"/>
      <c r="S60" s="26"/>
      <c r="T60" s="26"/>
      <c r="U60" s="26">
        <v>7454100</v>
      </c>
    </row>
  </sheetData>
  <dataConsolidate/>
  <mergeCells count="12">
    <mergeCell ref="D3:E3"/>
    <mergeCell ref="F3:G3"/>
    <mergeCell ref="H3:U3"/>
    <mergeCell ref="D15:E15"/>
    <mergeCell ref="F15:G15"/>
    <mergeCell ref="H15:X15"/>
    <mergeCell ref="J4:O4"/>
    <mergeCell ref="D16:J16"/>
    <mergeCell ref="K16:Q16"/>
    <mergeCell ref="R16:X16"/>
    <mergeCell ref="D4:I4"/>
    <mergeCell ref="P4:U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FB3A-8EA2-45C1-BAA9-6F7E3065526C}">
  <dimension ref="B2:X67"/>
  <sheetViews>
    <sheetView topLeftCell="K1" zoomScaleNormal="100" workbookViewId="0">
      <selection activeCell="R26" sqref="R26"/>
    </sheetView>
  </sheetViews>
  <sheetFormatPr baseColWidth="10" defaultColWidth="8.83203125" defaultRowHeight="15" x14ac:dyDescent="0.2"/>
  <cols>
    <col min="1" max="1" width="1.1640625" customWidth="1"/>
    <col min="2" max="2" width="36.33203125" customWidth="1"/>
    <col min="3" max="3" width="10.6640625" customWidth="1"/>
    <col min="4" max="24" width="9.83203125" customWidth="1"/>
  </cols>
  <sheetData>
    <row r="2" spans="2:24" ht="16" thickBot="1" x14ac:dyDescent="0.25"/>
    <row r="3" spans="2:24" ht="27" customHeight="1" thickBot="1" x14ac:dyDescent="0.35">
      <c r="D3" s="77" t="s">
        <v>26</v>
      </c>
      <c r="E3" s="78"/>
      <c r="F3" s="79">
        <v>10000</v>
      </c>
      <c r="G3" s="79"/>
      <c r="H3" s="79" t="s">
        <v>28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80"/>
    </row>
    <row r="4" spans="2:24" ht="24.75" customHeight="1" thickBot="1" x14ac:dyDescent="0.35">
      <c r="D4" s="74" t="s">
        <v>18</v>
      </c>
      <c r="E4" s="75"/>
      <c r="F4" s="75"/>
      <c r="G4" s="75"/>
      <c r="H4" s="75"/>
      <c r="I4" s="76"/>
      <c r="J4" s="74" t="s">
        <v>2</v>
      </c>
      <c r="K4" s="75"/>
      <c r="L4" s="75"/>
      <c r="M4" s="75"/>
      <c r="N4" s="75"/>
      <c r="O4" s="76"/>
      <c r="P4" s="74" t="s">
        <v>15</v>
      </c>
      <c r="Q4" s="75"/>
      <c r="R4" s="75"/>
      <c r="S4" s="75"/>
      <c r="T4" s="75"/>
      <c r="U4" s="76"/>
    </row>
    <row r="5" spans="2:24" ht="35.5" customHeight="1" thickBot="1" x14ac:dyDescent="0.25">
      <c r="B5" s="43" t="s">
        <v>16</v>
      </c>
      <c r="C5" s="32" t="s">
        <v>17</v>
      </c>
      <c r="D5" s="44">
        <v>1</v>
      </c>
      <c r="E5" s="45">
        <v>2</v>
      </c>
      <c r="F5" s="45">
        <v>3</v>
      </c>
      <c r="G5" s="45">
        <v>4</v>
      </c>
      <c r="H5" s="45">
        <v>5</v>
      </c>
      <c r="I5" s="46" t="s">
        <v>21</v>
      </c>
      <c r="J5" s="44">
        <v>1</v>
      </c>
      <c r="K5" s="45">
        <v>2</v>
      </c>
      <c r="L5" s="45">
        <v>3</v>
      </c>
      <c r="M5" s="45">
        <v>4</v>
      </c>
      <c r="N5" s="45">
        <v>5</v>
      </c>
      <c r="O5" s="46" t="s">
        <v>21</v>
      </c>
      <c r="P5" s="44">
        <v>1</v>
      </c>
      <c r="Q5" s="45">
        <v>2</v>
      </c>
      <c r="R5" s="45">
        <v>3</v>
      </c>
      <c r="S5" s="45">
        <v>4</v>
      </c>
      <c r="T5" s="45">
        <v>5</v>
      </c>
      <c r="U5" s="46" t="s">
        <v>21</v>
      </c>
    </row>
    <row r="6" spans="2:24" ht="22" thickBot="1" x14ac:dyDescent="0.3">
      <c r="B6" s="47" t="s">
        <v>8</v>
      </c>
      <c r="C6" s="48" t="s">
        <v>30</v>
      </c>
      <c r="D6" s="49">
        <v>4023.2249999999999</v>
      </c>
      <c r="E6" s="25">
        <v>3661.04</v>
      </c>
      <c r="F6" s="25">
        <v>3797.6149999999998</v>
      </c>
      <c r="G6" s="25">
        <v>3739.0790000000002</v>
      </c>
      <c r="H6" s="25">
        <v>3764.9079999999999</v>
      </c>
      <c r="I6" s="37">
        <f>AVERAGE(D6:H6)</f>
        <v>3797.1733999999997</v>
      </c>
      <c r="J6" s="49">
        <v>49995000</v>
      </c>
      <c r="K6" s="25">
        <v>49995000</v>
      </c>
      <c r="L6" s="25">
        <v>49995000</v>
      </c>
      <c r="M6" s="25">
        <v>49995000</v>
      </c>
      <c r="N6" s="25">
        <v>49995000</v>
      </c>
      <c r="O6" s="37">
        <f>AVERAGE(J6:N6)</f>
        <v>49995000</v>
      </c>
      <c r="P6" s="49">
        <v>149975685</v>
      </c>
      <c r="Q6" s="25">
        <v>149975877</v>
      </c>
      <c r="R6" s="25">
        <v>149975400</v>
      </c>
      <c r="S6" s="25">
        <v>149976099</v>
      </c>
      <c r="T6" s="25">
        <v>149975721</v>
      </c>
      <c r="U6" s="37">
        <f>AVERAGE(P6:T6)</f>
        <v>149975756.40000001</v>
      </c>
    </row>
    <row r="7" spans="2:24" ht="22" thickBot="1" x14ac:dyDescent="0.3">
      <c r="B7" s="50" t="s">
        <v>9</v>
      </c>
      <c r="C7" s="42" t="s">
        <v>30</v>
      </c>
      <c r="D7" s="3">
        <v>1439.1559999999999</v>
      </c>
      <c r="E7" s="10">
        <v>1512.5609999999999</v>
      </c>
      <c r="F7" s="10">
        <v>1432.8579999999999</v>
      </c>
      <c r="G7" s="10">
        <v>1462.568</v>
      </c>
      <c r="H7" s="10">
        <v>1464.4</v>
      </c>
      <c r="I7" s="37">
        <f t="shared" ref="I7:I13" si="0">AVERAGE(D7:H7)</f>
        <v>1462.3085999999998</v>
      </c>
      <c r="J7" s="3">
        <v>49995000</v>
      </c>
      <c r="K7" s="10">
        <v>49995000</v>
      </c>
      <c r="L7" s="10">
        <v>49995000</v>
      </c>
      <c r="M7" s="10">
        <v>49995000</v>
      </c>
      <c r="N7" s="10">
        <v>49995000</v>
      </c>
      <c r="O7" s="37">
        <f t="shared" ref="O7:O11" si="1">AVERAGE(J7:N7)</f>
        <v>49995000</v>
      </c>
      <c r="P7" s="3">
        <v>30000</v>
      </c>
      <c r="Q7" s="10">
        <v>30000</v>
      </c>
      <c r="R7" s="10">
        <v>30000</v>
      </c>
      <c r="S7" s="10">
        <v>30000</v>
      </c>
      <c r="T7" s="10">
        <v>30000</v>
      </c>
      <c r="U7" s="37">
        <f t="shared" ref="U7:U13" si="2">AVERAGE(P7:T7)</f>
        <v>30000</v>
      </c>
    </row>
    <row r="8" spans="2:24" ht="22" thickBot="1" x14ac:dyDescent="0.3">
      <c r="B8" s="50" t="s">
        <v>10</v>
      </c>
      <c r="C8" s="42" t="s">
        <v>30</v>
      </c>
      <c r="D8" s="3">
        <v>2801.5830000000001</v>
      </c>
      <c r="E8" s="3">
        <v>2799.54</v>
      </c>
      <c r="F8" s="3">
        <v>2866.7280000000001</v>
      </c>
      <c r="G8" s="3">
        <v>2889.6030000000001</v>
      </c>
      <c r="H8" s="3">
        <v>2816.8330000000001</v>
      </c>
      <c r="I8" s="37">
        <f t="shared" si="0"/>
        <v>2834.8573999999999</v>
      </c>
      <c r="J8" s="3">
        <v>50001921</v>
      </c>
      <c r="K8" s="3">
        <v>50001934</v>
      </c>
      <c r="L8" s="3">
        <v>50001878</v>
      </c>
      <c r="M8" s="3">
        <v>50001862</v>
      </c>
      <c r="N8" s="3">
        <v>50001851</v>
      </c>
      <c r="O8" s="37">
        <f t="shared" si="1"/>
        <v>50001889.200000003</v>
      </c>
      <c r="P8" s="3">
        <v>50011920</v>
      </c>
      <c r="Q8" s="3">
        <v>50011933</v>
      </c>
      <c r="R8" s="3">
        <v>50011877</v>
      </c>
      <c r="S8" s="3">
        <v>50011861</v>
      </c>
      <c r="T8" s="3">
        <v>50011850</v>
      </c>
      <c r="U8" s="37">
        <f t="shared" si="2"/>
        <v>50011888.200000003</v>
      </c>
    </row>
    <row r="9" spans="2:24" ht="22" thickBot="1" x14ac:dyDescent="0.3">
      <c r="B9" s="50" t="s">
        <v>14</v>
      </c>
      <c r="C9" s="42" t="s">
        <v>30</v>
      </c>
      <c r="D9" s="3">
        <v>210.864</v>
      </c>
      <c r="E9" s="3">
        <v>186.75299999999999</v>
      </c>
      <c r="F9" s="3">
        <v>190.45</v>
      </c>
      <c r="G9" s="3">
        <v>182.11500000000001</v>
      </c>
      <c r="H9" s="3">
        <v>197.81100000000001</v>
      </c>
      <c r="I9" s="37">
        <f t="shared" si="0"/>
        <v>193.5986</v>
      </c>
      <c r="J9" s="3">
        <v>114277</v>
      </c>
      <c r="K9" s="3">
        <v>114246</v>
      </c>
      <c r="L9" s="3">
        <v>114256</v>
      </c>
      <c r="M9" s="3">
        <v>114266</v>
      </c>
      <c r="N9" s="3">
        <v>114285</v>
      </c>
      <c r="O9" s="37">
        <f t="shared" si="1"/>
        <v>114266</v>
      </c>
      <c r="P9" s="3">
        <v>50011857</v>
      </c>
      <c r="Q9" s="3">
        <v>50011898</v>
      </c>
      <c r="R9" s="3">
        <v>50012033</v>
      </c>
      <c r="S9" s="3">
        <v>50011875</v>
      </c>
      <c r="T9" s="3">
        <v>50011920</v>
      </c>
      <c r="U9" s="37">
        <f t="shared" si="2"/>
        <v>50011916.600000001</v>
      </c>
    </row>
    <row r="10" spans="2:24" ht="22" thickBot="1" x14ac:dyDescent="0.3">
      <c r="B10" s="50" t="s">
        <v>13</v>
      </c>
      <c r="C10" s="42" t="s">
        <v>31</v>
      </c>
      <c r="D10" s="3">
        <v>6.8040000000000003</v>
      </c>
      <c r="E10" s="3">
        <v>7.0259999999999998</v>
      </c>
      <c r="F10" s="3">
        <v>6.1589999999999998</v>
      </c>
      <c r="G10" s="3">
        <v>6.4690000000000003</v>
      </c>
      <c r="H10" s="3">
        <v>6.2460000000000004</v>
      </c>
      <c r="I10" s="37">
        <f t="shared" si="0"/>
        <v>6.5407999999999999</v>
      </c>
      <c r="J10" s="3">
        <v>119682</v>
      </c>
      <c r="K10" s="3">
        <v>119543</v>
      </c>
      <c r="L10" s="3">
        <v>119550</v>
      </c>
      <c r="M10" s="3">
        <v>119680</v>
      </c>
      <c r="N10" s="3">
        <v>119557</v>
      </c>
      <c r="O10" s="37">
        <f t="shared" si="1"/>
        <v>119602.4</v>
      </c>
      <c r="P10" s="3">
        <v>125576</v>
      </c>
      <c r="Q10" s="3">
        <v>125414</v>
      </c>
      <c r="R10" s="3">
        <v>125404</v>
      </c>
      <c r="S10" s="3">
        <v>125569</v>
      </c>
      <c r="T10" s="3">
        <v>125436</v>
      </c>
      <c r="U10" s="37">
        <f t="shared" si="2"/>
        <v>125479.8</v>
      </c>
    </row>
    <row r="11" spans="2:24" ht="22" thickBot="1" x14ac:dyDescent="0.3">
      <c r="B11" s="67" t="s">
        <v>20</v>
      </c>
      <c r="C11" s="68" t="s">
        <v>31</v>
      </c>
      <c r="D11" s="10">
        <v>9.4779999999999998</v>
      </c>
      <c r="E11" s="10">
        <v>9.43</v>
      </c>
      <c r="F11" s="10">
        <v>9.2729999999999997</v>
      </c>
      <c r="G11" s="10">
        <v>8.9169999999999998</v>
      </c>
      <c r="H11" s="10">
        <v>8.8510000000000009</v>
      </c>
      <c r="I11" s="37">
        <f t="shared" si="0"/>
        <v>9.1898</v>
      </c>
      <c r="J11" s="10">
        <v>69843</v>
      </c>
      <c r="K11" s="10">
        <v>69886</v>
      </c>
      <c r="L11" s="10">
        <v>69860</v>
      </c>
      <c r="M11" s="10">
        <v>69858</v>
      </c>
      <c r="N11" s="10">
        <v>69950</v>
      </c>
      <c r="O11" s="37">
        <f t="shared" si="1"/>
        <v>69879.399999999994</v>
      </c>
      <c r="P11" s="10">
        <v>133616</v>
      </c>
      <c r="Q11" s="10">
        <v>133616</v>
      </c>
      <c r="R11" s="10">
        <v>133616</v>
      </c>
      <c r="S11" s="10">
        <v>133616</v>
      </c>
      <c r="T11" s="10">
        <v>133616</v>
      </c>
      <c r="U11" s="37">
        <f t="shared" si="2"/>
        <v>133616</v>
      </c>
    </row>
    <row r="12" spans="2:24" ht="22" thickBot="1" x14ac:dyDescent="0.3">
      <c r="B12" s="51" t="s">
        <v>27</v>
      </c>
      <c r="C12" s="52" t="s">
        <v>32</v>
      </c>
      <c r="D12" s="9">
        <v>10.44</v>
      </c>
      <c r="E12" s="9">
        <v>10.247999999999999</v>
      </c>
      <c r="F12" s="9">
        <v>10.257</v>
      </c>
      <c r="G12" s="9">
        <v>17.015999999999998</v>
      </c>
      <c r="H12" s="9">
        <v>9.875</v>
      </c>
      <c r="I12" s="37">
        <f t="shared" si="0"/>
        <v>11.5672</v>
      </c>
      <c r="J12" s="9">
        <v>50005</v>
      </c>
      <c r="K12" s="9">
        <v>50005</v>
      </c>
      <c r="L12" s="9">
        <v>50005</v>
      </c>
      <c r="M12" s="9">
        <v>50005</v>
      </c>
      <c r="N12" s="9">
        <v>50005</v>
      </c>
      <c r="O12" s="37">
        <f>AVERAGE(J12:N12)</f>
        <v>50005</v>
      </c>
      <c r="P12" s="9">
        <v>240054</v>
      </c>
      <c r="Q12" s="9">
        <v>240054</v>
      </c>
      <c r="R12" s="9">
        <v>240054</v>
      </c>
      <c r="S12" s="9">
        <v>240054</v>
      </c>
      <c r="T12" s="9">
        <v>200045</v>
      </c>
      <c r="U12" s="37">
        <f t="shared" si="2"/>
        <v>232052.2</v>
      </c>
    </row>
    <row r="13" spans="2:24" ht="21" x14ac:dyDescent="0.25">
      <c r="B13" s="72" t="s">
        <v>38</v>
      </c>
      <c r="C13" s="73" t="s">
        <v>31</v>
      </c>
      <c r="D13" s="12">
        <v>2621.8180000000002</v>
      </c>
      <c r="E13" s="12">
        <v>2896.8809999999999</v>
      </c>
      <c r="F13" s="12">
        <v>2903.277</v>
      </c>
      <c r="G13" s="12">
        <v>2930.105</v>
      </c>
      <c r="H13" s="12">
        <v>2815.683</v>
      </c>
      <c r="I13" s="37">
        <f t="shared" si="0"/>
        <v>2833.5527999999999</v>
      </c>
      <c r="J13" s="12">
        <v>42496326</v>
      </c>
      <c r="K13" s="12">
        <v>42597392</v>
      </c>
      <c r="L13" s="12">
        <v>42644240</v>
      </c>
      <c r="M13" s="12">
        <v>42571264</v>
      </c>
      <c r="N13" s="12">
        <v>42155988</v>
      </c>
      <c r="O13" s="37">
        <f>AVERAGE(J13:N13)</f>
        <v>42493042</v>
      </c>
      <c r="P13" s="12">
        <v>42596326</v>
      </c>
      <c r="Q13" s="12">
        <v>42697392</v>
      </c>
      <c r="R13" s="12">
        <v>42744240</v>
      </c>
      <c r="S13" s="12">
        <v>42671264</v>
      </c>
      <c r="T13" s="12">
        <v>42255988</v>
      </c>
      <c r="U13" s="37">
        <f t="shared" si="2"/>
        <v>42593042</v>
      </c>
    </row>
    <row r="14" spans="2:24" ht="16" thickBot="1" x14ac:dyDescent="0.25"/>
    <row r="15" spans="2:24" ht="27" thickBot="1" x14ac:dyDescent="0.35">
      <c r="D15" s="77" t="s">
        <v>26</v>
      </c>
      <c r="E15" s="78"/>
      <c r="F15" s="79">
        <v>20000</v>
      </c>
      <c r="G15" s="79"/>
      <c r="H15" s="79" t="s">
        <v>28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80"/>
    </row>
    <row r="16" spans="2:24" ht="25" thickBot="1" x14ac:dyDescent="0.35">
      <c r="D16" s="74" t="s">
        <v>18</v>
      </c>
      <c r="E16" s="75"/>
      <c r="F16" s="75"/>
      <c r="G16" s="75"/>
      <c r="H16" s="75"/>
      <c r="I16" s="75"/>
      <c r="J16" s="76"/>
      <c r="K16" s="74" t="s">
        <v>2</v>
      </c>
      <c r="L16" s="75"/>
      <c r="M16" s="75"/>
      <c r="N16" s="75"/>
      <c r="O16" s="75"/>
      <c r="P16" s="75"/>
      <c r="Q16" s="76"/>
      <c r="R16" s="74" t="s">
        <v>15</v>
      </c>
      <c r="S16" s="75"/>
      <c r="T16" s="75"/>
      <c r="U16" s="75"/>
      <c r="V16" s="75"/>
      <c r="W16" s="75"/>
      <c r="X16" s="76"/>
    </row>
    <row r="17" spans="2:24" ht="35" thickBot="1" x14ac:dyDescent="0.25">
      <c r="B17" s="43" t="s">
        <v>16</v>
      </c>
      <c r="C17" s="32" t="s">
        <v>17</v>
      </c>
      <c r="D17" s="53" t="s">
        <v>22</v>
      </c>
      <c r="E17" s="54">
        <v>1</v>
      </c>
      <c r="F17" s="54">
        <v>2</v>
      </c>
      <c r="G17" s="54">
        <v>3</v>
      </c>
      <c r="H17" s="54">
        <v>4</v>
      </c>
      <c r="I17" s="54">
        <v>5</v>
      </c>
      <c r="J17" s="55" t="s">
        <v>21</v>
      </c>
      <c r="K17" s="53" t="s">
        <v>22</v>
      </c>
      <c r="L17" s="54">
        <v>1</v>
      </c>
      <c r="M17" s="54">
        <v>2</v>
      </c>
      <c r="N17" s="54">
        <v>3</v>
      </c>
      <c r="O17" s="54">
        <v>4</v>
      </c>
      <c r="P17" s="54">
        <v>5</v>
      </c>
      <c r="Q17" s="55" t="s">
        <v>21</v>
      </c>
      <c r="R17" s="53" t="s">
        <v>22</v>
      </c>
      <c r="S17" s="54">
        <v>1</v>
      </c>
      <c r="T17" s="54">
        <v>2</v>
      </c>
      <c r="U17" s="54">
        <v>3</v>
      </c>
      <c r="V17" s="54">
        <v>4</v>
      </c>
      <c r="W17" s="54">
        <v>5</v>
      </c>
      <c r="X17" s="55" t="s">
        <v>21</v>
      </c>
    </row>
    <row r="18" spans="2:24" ht="21" x14ac:dyDescent="0.25">
      <c r="B18" s="47" t="s">
        <v>8</v>
      </c>
      <c r="C18" s="48" t="s">
        <v>30</v>
      </c>
      <c r="D18" s="56">
        <f>I6 * (F15^2 / F3^2)</f>
        <v>15188.693599999999</v>
      </c>
      <c r="E18" s="19">
        <v>16052.439</v>
      </c>
      <c r="F18" s="19">
        <v>14903.365</v>
      </c>
      <c r="G18" s="19">
        <v>14855.822</v>
      </c>
      <c r="H18" s="19">
        <v>15051.194</v>
      </c>
      <c r="I18" s="19">
        <v>14886.368</v>
      </c>
      <c r="J18" s="57">
        <f>AVERAGE(E18:I18)</f>
        <v>15149.837600000003</v>
      </c>
      <c r="K18" s="60">
        <f>O6 * (F15^2 / F3^2)</f>
        <v>199980000</v>
      </c>
      <c r="L18" s="19">
        <v>199990000</v>
      </c>
      <c r="M18" s="19">
        <v>199990000</v>
      </c>
      <c r="N18" s="19">
        <v>199990000</v>
      </c>
      <c r="O18" s="19">
        <v>199990000</v>
      </c>
      <c r="P18" s="19">
        <v>199990000</v>
      </c>
      <c r="Q18" s="57">
        <f>AVERAGE(L18:P18)</f>
        <v>199990000</v>
      </c>
      <c r="R18" s="60">
        <f>U6 * (F15^2 / F3^2)</f>
        <v>599903025.60000002</v>
      </c>
      <c r="S18" s="19">
        <v>599951331</v>
      </c>
      <c r="T18" s="19">
        <v>599951514</v>
      </c>
      <c r="U18" s="19">
        <v>599951871</v>
      </c>
      <c r="V18" s="19">
        <v>599950806</v>
      </c>
      <c r="W18" s="19">
        <v>599951052</v>
      </c>
      <c r="X18" s="57">
        <f>AVERAGE(S18:W18)</f>
        <v>599951314.79999995</v>
      </c>
    </row>
    <row r="19" spans="2:24" ht="21" x14ac:dyDescent="0.25">
      <c r="B19" s="50" t="s">
        <v>9</v>
      </c>
      <c r="C19" s="42" t="s">
        <v>30</v>
      </c>
      <c r="D19" s="58">
        <f>I7 * (F15^2 / F3^2)</f>
        <v>5849.2343999999994</v>
      </c>
      <c r="E19" s="1">
        <v>5766.8909999999996</v>
      </c>
      <c r="F19" s="1">
        <v>5746.14</v>
      </c>
      <c r="G19" s="1">
        <v>5831.3149999999996</v>
      </c>
      <c r="H19" s="1">
        <v>5828.6090000000004</v>
      </c>
      <c r="I19" s="1">
        <v>5749.7820000000002</v>
      </c>
      <c r="J19" s="57">
        <f t="shared" ref="J19:J25" si="3">AVERAGE(E19:I19)</f>
        <v>5784.5473999999995</v>
      </c>
      <c r="K19" s="4">
        <f>O7 * (F15^2 / F3^2)</f>
        <v>199980000</v>
      </c>
      <c r="L19" s="1">
        <v>199990000</v>
      </c>
      <c r="M19" s="1">
        <v>199990000</v>
      </c>
      <c r="N19" s="1">
        <v>199990000</v>
      </c>
      <c r="O19" s="1">
        <v>199990000</v>
      </c>
      <c r="P19" s="1">
        <v>199990000</v>
      </c>
      <c r="Q19" s="57">
        <f t="shared" ref="Q19:Q23" si="4">AVERAGE(L19:P19)</f>
        <v>199990000</v>
      </c>
      <c r="R19" s="4">
        <f>U7 * (F15 / F3)</f>
        <v>60000</v>
      </c>
      <c r="S19" s="1">
        <v>60000</v>
      </c>
      <c r="T19" s="1">
        <v>60000</v>
      </c>
      <c r="U19" s="1">
        <v>60000</v>
      </c>
      <c r="V19" s="1">
        <v>60000</v>
      </c>
      <c r="W19" s="1">
        <v>60000</v>
      </c>
      <c r="X19" s="57">
        <f t="shared" ref="X19:X25" si="5">AVERAGE(S19:W19)</f>
        <v>60000</v>
      </c>
    </row>
    <row r="20" spans="2:24" ht="21" x14ac:dyDescent="0.25">
      <c r="B20" s="50" t="s">
        <v>10</v>
      </c>
      <c r="C20" s="42" t="s">
        <v>30</v>
      </c>
      <c r="D20" s="58">
        <f>I8 * (F15^2 / F3^2)</f>
        <v>11339.429599999999</v>
      </c>
      <c r="E20" s="1">
        <v>11223.144</v>
      </c>
      <c r="F20" s="1">
        <v>11166.166999999999</v>
      </c>
      <c r="G20" s="1">
        <v>11236.201999999999</v>
      </c>
      <c r="H20" s="1">
        <v>11133.77</v>
      </c>
      <c r="I20" s="1">
        <v>11212.579</v>
      </c>
      <c r="J20" s="57">
        <f t="shared" si="3"/>
        <v>11194.372399999998</v>
      </c>
      <c r="K20" s="4">
        <f>O8 * (F15^2 / F3^2)</f>
        <v>200007556.80000001</v>
      </c>
      <c r="L20" s="1">
        <v>200003821</v>
      </c>
      <c r="M20" s="1">
        <v>200003660</v>
      </c>
      <c r="N20" s="1">
        <v>200003887</v>
      </c>
      <c r="O20" s="1">
        <v>200003965</v>
      </c>
      <c r="P20" s="1">
        <v>200003732</v>
      </c>
      <c r="Q20" s="57">
        <f t="shared" si="4"/>
        <v>200003813</v>
      </c>
      <c r="R20" s="4">
        <f>U8 * (F15^2 / F3^2)</f>
        <v>200047552.80000001</v>
      </c>
      <c r="S20" s="1">
        <v>200023820</v>
      </c>
      <c r="T20" s="1">
        <v>200023659</v>
      </c>
      <c r="U20" s="1">
        <v>200023886</v>
      </c>
      <c r="V20" s="1">
        <v>200023964</v>
      </c>
      <c r="W20" s="1">
        <v>200023731</v>
      </c>
      <c r="X20" s="57">
        <f t="shared" si="5"/>
        <v>200023812</v>
      </c>
    </row>
    <row r="21" spans="2:24" ht="21" x14ac:dyDescent="0.25">
      <c r="B21" s="50" t="s">
        <v>14</v>
      </c>
      <c r="C21" s="42" t="s">
        <v>30</v>
      </c>
      <c r="D21" s="58">
        <f>I9 * (F15*LN(F15) / (F3*LN(F3)))</f>
        <v>416.33669285927641</v>
      </c>
      <c r="E21" s="1">
        <v>771.53200000000004</v>
      </c>
      <c r="F21" s="1">
        <v>824.29399999999998</v>
      </c>
      <c r="G21" s="1">
        <v>777.029</v>
      </c>
      <c r="H21" s="1">
        <v>764.10199999999998</v>
      </c>
      <c r="I21" s="1">
        <v>773.46299999999997</v>
      </c>
      <c r="J21" s="57">
        <f t="shared" si="3"/>
        <v>782.08400000000006</v>
      </c>
      <c r="K21" s="4">
        <f>O9 * (F15*LN(F15) / (F3*LN(F3)))</f>
        <v>245730.74674227025</v>
      </c>
      <c r="L21" s="1">
        <v>248550</v>
      </c>
      <c r="M21" s="1">
        <v>248500</v>
      </c>
      <c r="N21" s="1">
        <v>248515</v>
      </c>
      <c r="O21" s="1">
        <v>248512</v>
      </c>
      <c r="P21" s="1">
        <v>248583</v>
      </c>
      <c r="Q21" s="57">
        <f t="shared" si="4"/>
        <v>248532</v>
      </c>
      <c r="R21" s="4">
        <f>U9 * (F15^2 / F3^2)</f>
        <v>200047666.40000001</v>
      </c>
      <c r="S21" s="1">
        <v>200023594</v>
      </c>
      <c r="T21" s="1">
        <v>200023774</v>
      </c>
      <c r="U21" s="1">
        <v>200023917</v>
      </c>
      <c r="V21" s="1">
        <v>200023805</v>
      </c>
      <c r="W21" s="1">
        <v>200023674</v>
      </c>
      <c r="X21" s="57">
        <f t="shared" si="5"/>
        <v>200023752.80000001</v>
      </c>
    </row>
    <row r="22" spans="2:24" ht="21" x14ac:dyDescent="0.25">
      <c r="B22" s="50" t="s">
        <v>13</v>
      </c>
      <c r="C22" s="42" t="s">
        <v>31</v>
      </c>
      <c r="D22" s="58">
        <f>I10 * (F15*LN(F15) / (F3*LN(F3)))</f>
        <v>14.066088497819484</v>
      </c>
      <c r="E22" s="1">
        <v>13.868</v>
      </c>
      <c r="F22" s="1">
        <v>13.288</v>
      </c>
      <c r="G22" s="1">
        <v>12.881</v>
      </c>
      <c r="H22" s="1">
        <v>12.775</v>
      </c>
      <c r="I22" s="1">
        <v>12.718</v>
      </c>
      <c r="J22" s="57">
        <f t="shared" si="3"/>
        <v>13.106</v>
      </c>
      <c r="K22" s="4">
        <f>O10 * (F15*LN(F15) / (F3*LN(F3)))</f>
        <v>257206.75497670087</v>
      </c>
      <c r="L22" s="1">
        <v>259071</v>
      </c>
      <c r="M22" s="1">
        <v>259118</v>
      </c>
      <c r="N22" s="1">
        <v>259094</v>
      </c>
      <c r="O22" s="1">
        <v>258812</v>
      </c>
      <c r="P22" s="1">
        <v>259070</v>
      </c>
      <c r="Q22" s="57">
        <f t="shared" si="4"/>
        <v>259033</v>
      </c>
      <c r="R22" s="4">
        <f>U10 * (F15*LN(F15) / (F3*LN(F3)))</f>
        <v>269846.1918249586</v>
      </c>
      <c r="S22" s="1">
        <v>270811</v>
      </c>
      <c r="T22" s="1">
        <v>270874</v>
      </c>
      <c r="U22" s="1">
        <v>270826</v>
      </c>
      <c r="V22" s="1">
        <v>270471</v>
      </c>
      <c r="W22" s="1">
        <v>270829</v>
      </c>
      <c r="X22" s="57">
        <f t="shared" si="5"/>
        <v>270762.2</v>
      </c>
    </row>
    <row r="23" spans="2:24" ht="21" x14ac:dyDescent="0.25">
      <c r="B23" s="67" t="s">
        <v>20</v>
      </c>
      <c r="C23" s="68" t="s">
        <v>31</v>
      </c>
      <c r="D23" s="69">
        <f>I11 * (F15*LN(F15) / (F3*LN(F3)))</f>
        <v>19.762802727076426</v>
      </c>
      <c r="E23" s="17">
        <v>18.428999999999998</v>
      </c>
      <c r="F23" s="17">
        <v>18.337</v>
      </c>
      <c r="G23" s="17">
        <v>18.308</v>
      </c>
      <c r="H23" s="17">
        <v>18.335999999999999</v>
      </c>
      <c r="I23" s="17">
        <v>18.510000000000002</v>
      </c>
      <c r="J23" s="57">
        <f t="shared" si="3"/>
        <v>18.384</v>
      </c>
      <c r="K23" s="70">
        <f>O11 * (F15*LN(F15) / (F3*LN(F3)))</f>
        <v>150276.69773950079</v>
      </c>
      <c r="L23" s="17">
        <v>149856</v>
      </c>
      <c r="M23" s="17">
        <v>149826</v>
      </c>
      <c r="N23" s="17">
        <v>149816</v>
      </c>
      <c r="O23" s="17">
        <v>149774</v>
      </c>
      <c r="P23" s="17">
        <v>149747</v>
      </c>
      <c r="Q23" s="57">
        <f t="shared" si="4"/>
        <v>149803.79999999999</v>
      </c>
      <c r="R23" s="70">
        <f>U11 * (F15*LN(F15) / (F3*LN(F3)))</f>
        <v>287343.21195031924</v>
      </c>
      <c r="S23" s="17">
        <v>287232</v>
      </c>
      <c r="T23" s="17">
        <v>287232</v>
      </c>
      <c r="U23" s="17">
        <v>287232</v>
      </c>
      <c r="V23" s="17">
        <v>287232</v>
      </c>
      <c r="W23" s="17">
        <v>287232</v>
      </c>
      <c r="X23" s="57">
        <f t="shared" si="5"/>
        <v>287232</v>
      </c>
    </row>
    <row r="24" spans="2:24" ht="22" thickBot="1" x14ac:dyDescent="0.3">
      <c r="B24" s="51" t="s">
        <v>27</v>
      </c>
      <c r="C24" s="52" t="s">
        <v>32</v>
      </c>
      <c r="D24" s="59">
        <f>I12 * (F15*LOG10(F15) / (F3*LOG10(F3)))</f>
        <v>24.8754370829222</v>
      </c>
      <c r="E24" s="7">
        <v>21.303000000000001</v>
      </c>
      <c r="F24" s="7">
        <v>21.202000000000002</v>
      </c>
      <c r="G24" s="7">
        <v>21.193999999999999</v>
      </c>
      <c r="H24" s="7">
        <v>21.571999999999999</v>
      </c>
      <c r="I24" s="7">
        <v>21.548999999999999</v>
      </c>
      <c r="J24" s="57">
        <f t="shared" si="3"/>
        <v>21.363999999999997</v>
      </c>
      <c r="K24" s="6"/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57">
        <f>AVERAGE(L24:P24)</f>
        <v>0</v>
      </c>
      <c r="R24" s="6">
        <f>U12 * (F15 / F3)</f>
        <v>464104.4</v>
      </c>
      <c r="S24" s="7">
        <v>480054</v>
      </c>
      <c r="T24" s="7">
        <v>480054</v>
      </c>
      <c r="U24" s="7">
        <v>480054</v>
      </c>
      <c r="V24" s="7">
        <v>480054</v>
      </c>
      <c r="W24" s="7">
        <v>480054</v>
      </c>
      <c r="X24" s="57">
        <f t="shared" si="5"/>
        <v>480054</v>
      </c>
    </row>
    <row r="25" spans="2:24" ht="21" x14ac:dyDescent="0.25">
      <c r="B25" s="72" t="s">
        <v>38</v>
      </c>
      <c r="C25" s="73" t="s">
        <v>31</v>
      </c>
      <c r="D25">
        <f>AVERAGE(D13:H13)*(20000*LN(20000))/(10000*LN(10000))</f>
        <v>6093.5977935488299</v>
      </c>
      <c r="E25" s="18">
        <v>12331.195</v>
      </c>
      <c r="F25" s="18">
        <v>11558.404</v>
      </c>
      <c r="G25" s="18">
        <v>11827.147999999999</v>
      </c>
      <c r="H25" s="18">
        <v>12050.811</v>
      </c>
      <c r="I25" s="18">
        <v>11219.643</v>
      </c>
      <c r="J25" s="57">
        <f t="shared" si="3"/>
        <v>11797.440200000001</v>
      </c>
      <c r="K25">
        <f>AVERAGE(J13:N13)*(20000*LN(20000))/(10000*LN(10000))</f>
        <v>91381924.124504671</v>
      </c>
      <c r="L25" s="18">
        <v>169905020</v>
      </c>
      <c r="M25" s="18">
        <v>169531056</v>
      </c>
      <c r="N25" s="18">
        <v>168674100</v>
      </c>
      <c r="O25" s="18">
        <v>170390578</v>
      </c>
      <c r="P25" s="18">
        <v>170553538</v>
      </c>
      <c r="Q25" s="57">
        <f>AVERAGE(L25:P25)</f>
        <v>169810858.40000001</v>
      </c>
      <c r="R25">
        <f>AVERAGE(P13:T13)*(20000*LN(20000))/(10000*LN(10000))</f>
        <v>91596975.624287874</v>
      </c>
      <c r="S25" s="18">
        <v>170105020</v>
      </c>
      <c r="T25" s="18">
        <v>169731056</v>
      </c>
      <c r="U25" s="18">
        <v>168874100</v>
      </c>
      <c r="V25" s="18">
        <v>170590578</v>
      </c>
      <c r="W25" s="18">
        <v>170753538</v>
      </c>
      <c r="X25" s="57">
        <f t="shared" si="5"/>
        <v>170010858.40000001</v>
      </c>
    </row>
    <row r="49" spans="3:7" x14ac:dyDescent="0.2">
      <c r="C49" s="26">
        <v>40487900</v>
      </c>
      <c r="D49" s="26">
        <v>38929800</v>
      </c>
      <c r="E49" s="26">
        <v>40598700</v>
      </c>
      <c r="F49" s="26">
        <v>37994500</v>
      </c>
      <c r="G49" s="26">
        <v>39030400</v>
      </c>
    </row>
    <row r="50" spans="3:7" x14ac:dyDescent="0.2">
      <c r="C50" s="26">
        <v>1041700</v>
      </c>
      <c r="D50" s="26">
        <v>763900</v>
      </c>
      <c r="E50" s="26">
        <v>897200</v>
      </c>
      <c r="F50" s="26">
        <v>904800</v>
      </c>
      <c r="G50" s="26">
        <v>1076300</v>
      </c>
    </row>
    <row r="51" spans="3:7" x14ac:dyDescent="0.2">
      <c r="C51" s="26">
        <v>28316400</v>
      </c>
      <c r="D51" s="26">
        <v>28959200</v>
      </c>
      <c r="E51" s="26">
        <v>29387200</v>
      </c>
      <c r="F51" s="26">
        <v>28380700</v>
      </c>
      <c r="G51" s="26">
        <v>29108200</v>
      </c>
    </row>
    <row r="52" spans="3:7" x14ac:dyDescent="0.2">
      <c r="C52" s="26">
        <v>789900</v>
      </c>
      <c r="D52" s="26">
        <v>654900</v>
      </c>
      <c r="E52" s="26">
        <v>619800</v>
      </c>
      <c r="F52" s="26">
        <v>702200</v>
      </c>
      <c r="G52" s="26">
        <v>765000</v>
      </c>
    </row>
    <row r="53" spans="3:7" x14ac:dyDescent="0.2">
      <c r="C53" s="26">
        <v>33085400</v>
      </c>
      <c r="D53" s="26">
        <v>32454700</v>
      </c>
      <c r="E53" s="26">
        <v>31823900</v>
      </c>
      <c r="F53" s="26">
        <v>32723200</v>
      </c>
      <c r="G53" s="26">
        <v>33355900</v>
      </c>
    </row>
    <row r="54" spans="3:7" x14ac:dyDescent="0.2">
      <c r="C54" s="26">
        <v>135200</v>
      </c>
      <c r="D54" s="26">
        <v>122800</v>
      </c>
      <c r="E54" s="26">
        <v>121700</v>
      </c>
      <c r="F54" s="26">
        <v>133900</v>
      </c>
      <c r="G54" s="26">
        <v>130600</v>
      </c>
    </row>
    <row r="55" spans="3:7" x14ac:dyDescent="0.2">
      <c r="C55" s="26">
        <v>391900</v>
      </c>
      <c r="D55" s="26">
        <v>369700</v>
      </c>
      <c r="E55" s="26">
        <v>359700</v>
      </c>
      <c r="F55" s="26">
        <v>396200</v>
      </c>
      <c r="G55" s="26">
        <v>396500</v>
      </c>
    </row>
    <row r="56" spans="3:7" x14ac:dyDescent="0.2">
      <c r="C56" s="26">
        <v>451600</v>
      </c>
      <c r="D56" s="26">
        <v>425000</v>
      </c>
      <c r="E56" s="26">
        <v>416100</v>
      </c>
      <c r="F56" s="26">
        <v>454500</v>
      </c>
      <c r="G56" s="26">
        <v>446900</v>
      </c>
    </row>
    <row r="57" spans="3:7" x14ac:dyDescent="0.2">
      <c r="C57" s="26">
        <v>32227600</v>
      </c>
      <c r="D57" s="26">
        <v>33173300</v>
      </c>
      <c r="E57" s="26">
        <v>30628800</v>
      </c>
      <c r="F57" s="26">
        <v>30867900</v>
      </c>
      <c r="G57" s="26">
        <v>30592800</v>
      </c>
    </row>
    <row r="58" spans="3:7" x14ac:dyDescent="0.2">
      <c r="C58" s="26"/>
      <c r="D58" s="26"/>
      <c r="E58" s="26"/>
      <c r="F58" s="26"/>
      <c r="G58" s="26"/>
    </row>
    <row r="59" spans="3:7" x14ac:dyDescent="0.2">
      <c r="C59" s="26">
        <v>4070632500</v>
      </c>
      <c r="D59" s="26">
        <v>3916273600</v>
      </c>
      <c r="E59" s="26">
        <v>3912912000</v>
      </c>
      <c r="F59" s="26">
        <v>3883502200</v>
      </c>
      <c r="G59" s="26">
        <v>4046147300</v>
      </c>
    </row>
    <row r="60" spans="3:7" x14ac:dyDescent="0.2">
      <c r="C60" s="26">
        <v>12442500</v>
      </c>
      <c r="D60" s="26">
        <v>13210900</v>
      </c>
      <c r="E60" s="26">
        <v>10435500</v>
      </c>
      <c r="F60" s="26">
        <v>11862400</v>
      </c>
      <c r="G60" s="26">
        <v>12064800</v>
      </c>
    </row>
    <row r="61" spans="3:7" x14ac:dyDescent="0.2">
      <c r="C61" s="26">
        <v>2859760200</v>
      </c>
      <c r="D61" s="26">
        <v>2878537400</v>
      </c>
      <c r="E61" s="26">
        <v>2814107600</v>
      </c>
      <c r="F61" s="26">
        <v>2875314500</v>
      </c>
      <c r="G61" s="26">
        <v>2808641000</v>
      </c>
    </row>
    <row r="62" spans="3:7" x14ac:dyDescent="0.2">
      <c r="C62" s="26">
        <v>8602100</v>
      </c>
      <c r="D62" s="26">
        <v>10342100</v>
      </c>
      <c r="E62" s="26">
        <v>7311500</v>
      </c>
      <c r="F62" s="26">
        <v>11243600</v>
      </c>
      <c r="G62" s="26">
        <v>7808200</v>
      </c>
    </row>
    <row r="63" spans="3:7" x14ac:dyDescent="0.2">
      <c r="C63" s="26">
        <v>3171913300</v>
      </c>
      <c r="D63" s="26">
        <v>3273408900</v>
      </c>
      <c r="E63" s="26">
        <v>3196386100</v>
      </c>
      <c r="F63" s="26">
        <v>3256364800</v>
      </c>
      <c r="G63" s="26">
        <v>3170991800</v>
      </c>
    </row>
    <row r="64" spans="3:7" x14ac:dyDescent="0.2">
      <c r="C64" s="26">
        <v>1744700</v>
      </c>
      <c r="D64" s="26">
        <v>1294600</v>
      </c>
      <c r="E64" s="26">
        <v>1253400</v>
      </c>
      <c r="F64" s="26">
        <v>1282200</v>
      </c>
      <c r="G64" s="26">
        <v>1259200</v>
      </c>
    </row>
    <row r="65" spans="3:7" x14ac:dyDescent="0.2">
      <c r="C65" s="26">
        <v>4870800</v>
      </c>
      <c r="D65" s="26">
        <v>4560400</v>
      </c>
      <c r="E65" s="26">
        <v>4553600</v>
      </c>
      <c r="F65" s="26">
        <v>4619000</v>
      </c>
      <c r="G65" s="26">
        <v>4596900</v>
      </c>
    </row>
    <row r="66" spans="3:7" x14ac:dyDescent="0.2">
      <c r="C66" s="26">
        <v>5428100</v>
      </c>
      <c r="D66" s="26">
        <v>5941300</v>
      </c>
      <c r="E66" s="26">
        <v>4860400</v>
      </c>
      <c r="F66" s="26">
        <v>4922400</v>
      </c>
      <c r="G66" s="26">
        <v>4778800</v>
      </c>
    </row>
    <row r="67" spans="3:7" x14ac:dyDescent="0.2">
      <c r="C67" s="26">
        <v>3054730000</v>
      </c>
      <c r="D67" s="26">
        <v>2998137100</v>
      </c>
      <c r="E67" s="26">
        <v>3008030800</v>
      </c>
      <c r="F67" s="26">
        <v>2961089500</v>
      </c>
      <c r="G67" s="26">
        <v>3017060200</v>
      </c>
    </row>
  </sheetData>
  <mergeCells count="12">
    <mergeCell ref="D3:E3"/>
    <mergeCell ref="F3:G3"/>
    <mergeCell ref="H3:U3"/>
    <mergeCell ref="D15:E15"/>
    <mergeCell ref="F15:G15"/>
    <mergeCell ref="H15:X15"/>
    <mergeCell ref="D16:J16"/>
    <mergeCell ref="K16:Q16"/>
    <mergeCell ref="R16:X16"/>
    <mergeCell ref="D4:I4"/>
    <mergeCell ref="J4:O4"/>
    <mergeCell ref="P4:U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9F40-4024-49D5-96CE-4FD216CDC73D}">
  <dimension ref="B2:X25"/>
  <sheetViews>
    <sheetView tabSelected="1" topLeftCell="G4" zoomScale="92" zoomScaleNormal="96" workbookViewId="0">
      <selection activeCell="R26" sqref="R26"/>
    </sheetView>
  </sheetViews>
  <sheetFormatPr baseColWidth="10" defaultColWidth="8.83203125" defaultRowHeight="15" x14ac:dyDescent="0.2"/>
  <cols>
    <col min="1" max="1" width="1" customWidth="1"/>
    <col min="2" max="2" width="36.33203125" customWidth="1"/>
    <col min="3" max="3" width="10.6640625" customWidth="1"/>
    <col min="4" max="24" width="10.33203125" customWidth="1"/>
  </cols>
  <sheetData>
    <row r="2" spans="2:24" ht="16" thickBot="1" x14ac:dyDescent="0.25"/>
    <row r="3" spans="2:24" ht="27" customHeight="1" thickBot="1" x14ac:dyDescent="0.35">
      <c r="D3" s="77" t="s">
        <v>26</v>
      </c>
      <c r="E3" s="78"/>
      <c r="F3" s="79">
        <v>10000</v>
      </c>
      <c r="G3" s="79"/>
      <c r="H3" s="79" t="s">
        <v>29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80"/>
    </row>
    <row r="4" spans="2:24" ht="24.75" customHeight="1" thickBot="1" x14ac:dyDescent="0.35">
      <c r="D4" s="74" t="s">
        <v>18</v>
      </c>
      <c r="E4" s="75"/>
      <c r="F4" s="75"/>
      <c r="G4" s="75"/>
      <c r="H4" s="75"/>
      <c r="I4" s="76"/>
      <c r="J4" s="74" t="s">
        <v>2</v>
      </c>
      <c r="K4" s="75"/>
      <c r="L4" s="75"/>
      <c r="M4" s="75"/>
      <c r="N4" s="75"/>
      <c r="O4" s="76"/>
      <c r="P4" s="74" t="s">
        <v>15</v>
      </c>
      <c r="Q4" s="75"/>
      <c r="R4" s="75"/>
      <c r="S4" s="75"/>
      <c r="T4" s="75"/>
      <c r="U4" s="76"/>
    </row>
    <row r="5" spans="2:24" ht="35.5" customHeight="1" thickBot="1" x14ac:dyDescent="0.25">
      <c r="B5" s="43" t="s">
        <v>16</v>
      </c>
      <c r="C5" s="32" t="s">
        <v>17</v>
      </c>
      <c r="D5" s="44">
        <v>1</v>
      </c>
      <c r="E5" s="45">
        <v>2</v>
      </c>
      <c r="F5" s="45">
        <v>3</v>
      </c>
      <c r="G5" s="45">
        <v>4</v>
      </c>
      <c r="H5" s="45">
        <v>5</v>
      </c>
      <c r="I5" s="46" t="s">
        <v>21</v>
      </c>
      <c r="J5" s="44">
        <v>1</v>
      </c>
      <c r="K5" s="45">
        <v>2</v>
      </c>
      <c r="L5" s="45">
        <v>3</v>
      </c>
      <c r="M5" s="45">
        <v>4</v>
      </c>
      <c r="N5" s="45">
        <v>5</v>
      </c>
      <c r="O5" s="46" t="s">
        <v>21</v>
      </c>
      <c r="P5" s="44">
        <v>1</v>
      </c>
      <c r="Q5" s="45">
        <v>2</v>
      </c>
      <c r="R5" s="45">
        <v>3</v>
      </c>
      <c r="S5" s="45">
        <v>4</v>
      </c>
      <c r="T5" s="45">
        <v>5</v>
      </c>
      <c r="U5" s="46" t="s">
        <v>21</v>
      </c>
    </row>
    <row r="6" spans="2:24" ht="22" thickBot="1" x14ac:dyDescent="0.3">
      <c r="B6" s="47" t="s">
        <v>8</v>
      </c>
      <c r="C6" s="48" t="s">
        <v>30</v>
      </c>
      <c r="D6" s="49">
        <v>2172.3589999999999</v>
      </c>
      <c r="E6" s="25">
        <v>1957.4949999999999</v>
      </c>
      <c r="F6" s="25">
        <v>1972.8720000000001</v>
      </c>
      <c r="G6" s="25">
        <v>1943.62</v>
      </c>
      <c r="H6" s="25">
        <v>1959.422</v>
      </c>
      <c r="I6" s="37">
        <f>AVERAGE(D6:H6)</f>
        <v>2001.1536000000001</v>
      </c>
      <c r="J6" s="49">
        <v>49995000</v>
      </c>
      <c r="K6" s="25">
        <v>49995000</v>
      </c>
      <c r="L6" s="25">
        <v>49995000</v>
      </c>
      <c r="M6" s="25">
        <v>49995000</v>
      </c>
      <c r="N6" s="25">
        <v>49995000</v>
      </c>
      <c r="O6" s="37">
        <f>AVERAGE(J6:N6)</f>
        <v>49995000</v>
      </c>
      <c r="P6" s="49">
        <v>15058542</v>
      </c>
      <c r="Q6" s="25">
        <v>15703638</v>
      </c>
      <c r="R6" s="25">
        <v>16379334</v>
      </c>
      <c r="S6" s="25">
        <v>15123561</v>
      </c>
      <c r="T6" s="25">
        <v>15794640</v>
      </c>
      <c r="U6" s="37">
        <f>AVERAGE(P6:T6)</f>
        <v>15611943</v>
      </c>
    </row>
    <row r="7" spans="2:24" ht="22" thickBot="1" x14ac:dyDescent="0.3">
      <c r="B7" s="50" t="s">
        <v>9</v>
      </c>
      <c r="C7" s="42" t="s">
        <v>30</v>
      </c>
      <c r="D7" s="3">
        <v>1309.991</v>
      </c>
      <c r="E7" s="10">
        <v>1356.835</v>
      </c>
      <c r="F7" s="10">
        <v>1300.547</v>
      </c>
      <c r="G7" s="10">
        <v>1303.1610000000001</v>
      </c>
      <c r="H7" s="10">
        <v>1320.1189999999999</v>
      </c>
      <c r="I7" s="37">
        <f t="shared" ref="I7:I13" si="0">AVERAGE(D7:H7)</f>
        <v>1318.1306</v>
      </c>
      <c r="J7" s="3">
        <v>49995000</v>
      </c>
      <c r="K7" s="10">
        <v>49995000</v>
      </c>
      <c r="L7" s="10">
        <v>49995000</v>
      </c>
      <c r="M7" s="10">
        <v>49995000</v>
      </c>
      <c r="N7" s="10">
        <v>49995000</v>
      </c>
      <c r="O7" s="37">
        <f t="shared" ref="O7:O13" si="1">AVERAGE(J7:N7)</f>
        <v>49995000</v>
      </c>
      <c r="P7" s="3">
        <v>30000</v>
      </c>
      <c r="Q7" s="10">
        <v>30000</v>
      </c>
      <c r="R7" s="10">
        <v>30000</v>
      </c>
      <c r="S7" s="10">
        <v>30000</v>
      </c>
      <c r="T7" s="10">
        <v>30000</v>
      </c>
      <c r="U7" s="37">
        <f t="shared" ref="U7:U13" si="2">AVERAGE(P7:T7)</f>
        <v>30000</v>
      </c>
    </row>
    <row r="8" spans="2:24" ht="22" thickBot="1" x14ac:dyDescent="0.3">
      <c r="B8" s="50" t="s">
        <v>10</v>
      </c>
      <c r="C8" s="42" t="s">
        <v>30</v>
      </c>
      <c r="D8" s="3">
        <v>305.43799999999999</v>
      </c>
      <c r="E8" s="3">
        <v>272.25299999999999</v>
      </c>
      <c r="F8" s="3">
        <v>283.13799999999998</v>
      </c>
      <c r="G8" s="3">
        <v>294.69600000000003</v>
      </c>
      <c r="H8" s="3">
        <v>276.17099999999999</v>
      </c>
      <c r="I8" s="37">
        <f t="shared" si="0"/>
        <v>286.33920000000001</v>
      </c>
      <c r="J8" s="3">
        <v>5648827</v>
      </c>
      <c r="K8" s="3">
        <v>5012318</v>
      </c>
      <c r="L8" s="3">
        <v>5209163</v>
      </c>
      <c r="M8" s="3">
        <v>5464152</v>
      </c>
      <c r="N8" s="3">
        <v>5134194</v>
      </c>
      <c r="O8" s="37">
        <f t="shared" si="1"/>
        <v>5293730.8</v>
      </c>
      <c r="P8" s="3">
        <v>5658826</v>
      </c>
      <c r="Q8" s="3">
        <v>5022317</v>
      </c>
      <c r="R8" s="3">
        <v>5219162</v>
      </c>
      <c r="S8" s="3">
        <v>5474151</v>
      </c>
      <c r="T8" s="3">
        <v>5144193</v>
      </c>
      <c r="U8" s="37">
        <f t="shared" si="2"/>
        <v>5303729.8</v>
      </c>
    </row>
    <row r="9" spans="2:24" ht="22" thickBot="1" x14ac:dyDescent="0.3">
      <c r="B9" s="50" t="s">
        <v>14</v>
      </c>
      <c r="C9" s="42" t="s">
        <v>30</v>
      </c>
      <c r="D9" s="3">
        <v>104.81699999999999</v>
      </c>
      <c r="E9" s="3">
        <v>61.497</v>
      </c>
      <c r="F9" s="3">
        <v>53.548999999999999</v>
      </c>
      <c r="G9" s="3">
        <v>53.433999999999997</v>
      </c>
      <c r="H9" s="3">
        <v>53.433</v>
      </c>
      <c r="I9" s="37">
        <f t="shared" si="0"/>
        <v>65.346000000000004</v>
      </c>
      <c r="J9" s="3">
        <v>37499</v>
      </c>
      <c r="K9" s="3">
        <v>38351</v>
      </c>
      <c r="L9" s="3">
        <v>37562</v>
      </c>
      <c r="M9" s="3">
        <v>38163</v>
      </c>
      <c r="N9" s="3">
        <v>37365</v>
      </c>
      <c r="O9" s="37">
        <f t="shared" si="1"/>
        <v>37788</v>
      </c>
      <c r="P9" s="3">
        <v>22619243</v>
      </c>
      <c r="Q9" s="3">
        <v>22081225</v>
      </c>
      <c r="R9" s="3">
        <v>22569896</v>
      </c>
      <c r="S9" s="3">
        <v>22488101</v>
      </c>
      <c r="T9" s="3">
        <v>22684239</v>
      </c>
      <c r="U9" s="37">
        <f t="shared" si="2"/>
        <v>22488540.800000001</v>
      </c>
    </row>
    <row r="10" spans="2:24" ht="22" thickBot="1" x14ac:dyDescent="0.3">
      <c r="B10" s="50" t="s">
        <v>13</v>
      </c>
      <c r="C10" s="42" t="s">
        <v>31</v>
      </c>
      <c r="D10" s="3">
        <v>1.978</v>
      </c>
      <c r="E10" s="3">
        <v>1.954</v>
      </c>
      <c r="F10" s="3">
        <v>2.0990000000000002</v>
      </c>
      <c r="G10" s="3">
        <v>2.1680000000000001</v>
      </c>
      <c r="H10" s="3">
        <v>1.7649999999999999</v>
      </c>
      <c r="I10" s="37">
        <f t="shared" si="0"/>
        <v>1.9928000000000003</v>
      </c>
      <c r="J10" s="3">
        <v>42141</v>
      </c>
      <c r="K10" s="3">
        <v>40171</v>
      </c>
      <c r="L10" s="3">
        <v>37134</v>
      </c>
      <c r="M10" s="3">
        <v>42609</v>
      </c>
      <c r="N10" s="3">
        <v>36267</v>
      </c>
      <c r="O10" s="37">
        <f t="shared" si="1"/>
        <v>39664.400000000001</v>
      </c>
      <c r="P10" s="3">
        <v>43380</v>
      </c>
      <c r="Q10" s="3">
        <v>41310</v>
      </c>
      <c r="R10" s="3">
        <v>38349</v>
      </c>
      <c r="S10" s="3">
        <v>43829</v>
      </c>
      <c r="T10" s="3">
        <v>37458</v>
      </c>
      <c r="U10" s="37">
        <f t="shared" si="2"/>
        <v>40865.199999999997</v>
      </c>
    </row>
    <row r="11" spans="2:24" ht="22" thickBot="1" x14ac:dyDescent="0.3">
      <c r="B11" s="67" t="s">
        <v>20</v>
      </c>
      <c r="C11" s="68" t="s">
        <v>31</v>
      </c>
      <c r="D11" s="10">
        <v>9.5579999999999998</v>
      </c>
      <c r="E11" s="10">
        <v>9.4529999999999994</v>
      </c>
      <c r="F11" s="10">
        <v>9.7550000000000008</v>
      </c>
      <c r="G11" s="10">
        <v>9.5739999999999998</v>
      </c>
      <c r="H11" s="10">
        <v>9.5690000000000008</v>
      </c>
      <c r="I11" s="37">
        <f t="shared" si="0"/>
        <v>9.5817999999999994</v>
      </c>
      <c r="J11" s="10">
        <v>80365</v>
      </c>
      <c r="K11" s="10">
        <v>80763</v>
      </c>
      <c r="L11" s="10">
        <v>80132</v>
      </c>
      <c r="M11" s="10">
        <v>80252</v>
      </c>
      <c r="N11" s="10">
        <v>80358</v>
      </c>
      <c r="O11" s="37">
        <f t="shared" si="1"/>
        <v>80374</v>
      </c>
      <c r="P11" s="10">
        <v>133616</v>
      </c>
      <c r="Q11" s="10">
        <v>133616</v>
      </c>
      <c r="R11" s="10">
        <v>133616</v>
      </c>
      <c r="S11" s="10">
        <v>133616</v>
      </c>
      <c r="T11" s="10">
        <v>133616</v>
      </c>
      <c r="U11" s="37">
        <f t="shared" si="2"/>
        <v>133616</v>
      </c>
    </row>
    <row r="12" spans="2:24" ht="22" thickBot="1" x14ac:dyDescent="0.3">
      <c r="B12" s="51" t="s">
        <v>27</v>
      </c>
      <c r="C12" s="52" t="s">
        <v>32</v>
      </c>
      <c r="D12" s="9">
        <v>8.8089999999999993</v>
      </c>
      <c r="E12" s="9">
        <v>9.0299999999999994</v>
      </c>
      <c r="F12" s="9">
        <v>9.3840000000000003</v>
      </c>
      <c r="G12" s="9">
        <v>8.6809999999999992</v>
      </c>
      <c r="H12" s="9">
        <v>9.0410000000000004</v>
      </c>
      <c r="I12" s="37">
        <f t="shared" si="0"/>
        <v>8.988999999999999</v>
      </c>
      <c r="J12" s="9">
        <v>50005</v>
      </c>
      <c r="K12" s="9">
        <v>50005</v>
      </c>
      <c r="L12" s="9">
        <v>50005</v>
      </c>
      <c r="M12" s="9">
        <v>50005</v>
      </c>
      <c r="N12" s="9">
        <v>50005</v>
      </c>
      <c r="O12" s="37">
        <f t="shared" si="1"/>
        <v>50005</v>
      </c>
      <c r="P12" s="9">
        <v>200045</v>
      </c>
      <c r="Q12" s="9">
        <v>200045</v>
      </c>
      <c r="R12" s="9">
        <v>200045</v>
      </c>
      <c r="S12" s="9">
        <v>200045</v>
      </c>
      <c r="T12" s="9">
        <v>200045</v>
      </c>
      <c r="U12" s="37">
        <f t="shared" si="2"/>
        <v>200045</v>
      </c>
    </row>
    <row r="13" spans="2:24" ht="21" x14ac:dyDescent="0.25">
      <c r="B13" s="72" t="s">
        <v>38</v>
      </c>
      <c r="C13" s="73" t="s">
        <v>31</v>
      </c>
      <c r="D13" s="12">
        <v>2646.92</v>
      </c>
      <c r="E13" s="12">
        <v>2692.6669999999999</v>
      </c>
      <c r="F13" s="12">
        <v>3102.9760000000001</v>
      </c>
      <c r="G13" s="12">
        <v>3108.4569999999999</v>
      </c>
      <c r="H13" s="12">
        <v>2989.0410000000002</v>
      </c>
      <c r="I13" s="37">
        <f t="shared" si="0"/>
        <v>2908.0122000000001</v>
      </c>
      <c r="J13" s="12">
        <v>42450822</v>
      </c>
      <c r="K13" s="12">
        <v>42317500</v>
      </c>
      <c r="L13" s="12">
        <v>42581200</v>
      </c>
      <c r="M13" s="12">
        <v>42432680</v>
      </c>
      <c r="N13" s="12">
        <v>42439058</v>
      </c>
      <c r="O13" s="37">
        <f t="shared" si="1"/>
        <v>42444252</v>
      </c>
      <c r="P13" s="12">
        <v>42550822</v>
      </c>
      <c r="Q13" s="12">
        <v>42417500</v>
      </c>
      <c r="R13" s="12">
        <v>42681200</v>
      </c>
      <c r="S13" s="12">
        <v>42532680</v>
      </c>
      <c r="T13" s="12">
        <v>42539058</v>
      </c>
      <c r="U13" s="37">
        <f t="shared" si="2"/>
        <v>42544252</v>
      </c>
    </row>
    <row r="14" spans="2:24" ht="16" thickBot="1" x14ac:dyDescent="0.25"/>
    <row r="15" spans="2:24" ht="27" thickBot="1" x14ac:dyDescent="0.35">
      <c r="D15" s="77" t="s">
        <v>26</v>
      </c>
      <c r="E15" s="78"/>
      <c r="F15" s="79">
        <v>20000</v>
      </c>
      <c r="G15" s="79"/>
      <c r="H15" s="79" t="s">
        <v>29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80"/>
    </row>
    <row r="16" spans="2:24" ht="25" thickBot="1" x14ac:dyDescent="0.35">
      <c r="D16" s="74" t="s">
        <v>18</v>
      </c>
      <c r="E16" s="75"/>
      <c r="F16" s="75"/>
      <c r="G16" s="75"/>
      <c r="H16" s="75"/>
      <c r="I16" s="75"/>
      <c r="J16" s="76"/>
      <c r="K16" s="74" t="s">
        <v>2</v>
      </c>
      <c r="L16" s="75"/>
      <c r="M16" s="75"/>
      <c r="N16" s="75"/>
      <c r="O16" s="75"/>
      <c r="P16" s="75"/>
      <c r="Q16" s="76"/>
      <c r="R16" s="74" t="s">
        <v>15</v>
      </c>
      <c r="S16" s="75"/>
      <c r="T16" s="75"/>
      <c r="U16" s="75"/>
      <c r="V16" s="75"/>
      <c r="W16" s="75"/>
      <c r="X16" s="76"/>
    </row>
    <row r="17" spans="2:24" ht="35" thickBot="1" x14ac:dyDescent="0.25">
      <c r="B17" s="43" t="s">
        <v>16</v>
      </c>
      <c r="C17" s="32" t="s">
        <v>17</v>
      </c>
      <c r="D17" s="53" t="s">
        <v>22</v>
      </c>
      <c r="E17" s="54">
        <v>1</v>
      </c>
      <c r="F17" s="54">
        <v>2</v>
      </c>
      <c r="G17" s="54">
        <v>3</v>
      </c>
      <c r="H17" s="54">
        <v>4</v>
      </c>
      <c r="I17" s="54">
        <v>5</v>
      </c>
      <c r="J17" s="55" t="s">
        <v>21</v>
      </c>
      <c r="K17" s="53" t="s">
        <v>22</v>
      </c>
      <c r="L17" s="54">
        <v>1</v>
      </c>
      <c r="M17" s="54">
        <v>2</v>
      </c>
      <c r="N17" s="54">
        <v>3</v>
      </c>
      <c r="O17" s="54">
        <v>4</v>
      </c>
      <c r="P17" s="54">
        <v>5</v>
      </c>
      <c r="Q17" s="55" t="s">
        <v>21</v>
      </c>
      <c r="R17" s="53" t="s">
        <v>22</v>
      </c>
      <c r="S17" s="54">
        <v>1</v>
      </c>
      <c r="T17" s="54">
        <v>2</v>
      </c>
      <c r="U17" s="54">
        <v>3</v>
      </c>
      <c r="V17" s="54">
        <v>4</v>
      </c>
      <c r="W17" s="54">
        <v>5</v>
      </c>
      <c r="X17" s="55" t="s">
        <v>21</v>
      </c>
    </row>
    <row r="18" spans="2:24" ht="21" x14ac:dyDescent="0.25">
      <c r="B18" s="47" t="s">
        <v>8</v>
      </c>
      <c r="C18" s="48" t="s">
        <v>30</v>
      </c>
      <c r="D18" s="56">
        <f>I6 * (F15^2 / F3^2)</f>
        <v>8004.6144000000004</v>
      </c>
      <c r="E18" s="19">
        <v>9101.634</v>
      </c>
      <c r="F18" s="19">
        <v>8387.9500000000007</v>
      </c>
      <c r="G18" s="19">
        <v>8468.6280000000006</v>
      </c>
      <c r="H18" s="19">
        <v>8649.6990000000005</v>
      </c>
      <c r="I18" s="19">
        <v>8554.9130000000005</v>
      </c>
      <c r="J18" s="57">
        <f>AVERAGE(E18:I18)</f>
        <v>8632.5648000000019</v>
      </c>
      <c r="K18" s="60">
        <f>(F15*(F15-1)/2)</f>
        <v>199990000</v>
      </c>
      <c r="L18" s="19">
        <v>199990000</v>
      </c>
      <c r="M18" s="19">
        <v>199990000</v>
      </c>
      <c r="N18" s="19">
        <v>199990000</v>
      </c>
      <c r="O18" s="19">
        <v>199990000</v>
      </c>
      <c r="P18" s="19">
        <v>199990000</v>
      </c>
      <c r="Q18" s="57">
        <f>AVERAGE(L18:P18)</f>
        <v>199990000</v>
      </c>
      <c r="R18" s="60">
        <f>(F15*(F15-1)/2)</f>
        <v>199990000</v>
      </c>
      <c r="S18" s="19">
        <v>78059451</v>
      </c>
      <c r="T18" s="19">
        <v>81228780</v>
      </c>
      <c r="U18" s="19">
        <v>78519612</v>
      </c>
      <c r="V18" s="19">
        <v>75737511</v>
      </c>
      <c r="W18" s="19">
        <v>79509228</v>
      </c>
      <c r="X18" s="57">
        <f>AVERAGE(S18:W18)</f>
        <v>78610916.400000006</v>
      </c>
    </row>
    <row r="19" spans="2:24" ht="21" x14ac:dyDescent="0.25">
      <c r="B19" s="50" t="s">
        <v>9</v>
      </c>
      <c r="C19" s="42" t="s">
        <v>30</v>
      </c>
      <c r="D19" s="58">
        <f>I7 * (F15^2 / F3^2)</f>
        <v>5272.5223999999998</v>
      </c>
      <c r="E19" s="1">
        <v>5458.4560000000001</v>
      </c>
      <c r="F19" s="1">
        <v>5300.527</v>
      </c>
      <c r="G19" s="1">
        <v>5371.5519999999997</v>
      </c>
      <c r="H19" s="1">
        <v>5349.1760000000004</v>
      </c>
      <c r="I19" s="1">
        <v>5268.8329999999996</v>
      </c>
      <c r="J19" s="57">
        <f t="shared" ref="J19:J25" si="3">AVERAGE(E19:I19)</f>
        <v>5349.7087999999994</v>
      </c>
      <c r="K19" s="4">
        <f>O7 * (F15^2 / F3^2)</f>
        <v>199980000</v>
      </c>
      <c r="L19" s="1">
        <v>199990000</v>
      </c>
      <c r="M19" s="1">
        <v>199990000</v>
      </c>
      <c r="N19" s="1">
        <v>199990000</v>
      </c>
      <c r="O19" s="1">
        <v>199990000</v>
      </c>
      <c r="P19" s="1">
        <v>199990000</v>
      </c>
      <c r="Q19" s="57">
        <f>AVERAGE(L19:P19)</f>
        <v>199990000</v>
      </c>
      <c r="R19" s="4">
        <f>U7 * (F15 / F3)</f>
        <v>60000</v>
      </c>
      <c r="S19" s="1">
        <v>60000</v>
      </c>
      <c r="T19" s="1">
        <v>60000</v>
      </c>
      <c r="U19" s="1">
        <v>60000</v>
      </c>
      <c r="V19" s="1">
        <v>60000</v>
      </c>
      <c r="W19" s="1">
        <v>60000</v>
      </c>
      <c r="X19" s="57">
        <f t="shared" ref="X19:X23" si="4">AVERAGE(S19:W19)</f>
        <v>60000</v>
      </c>
    </row>
    <row r="20" spans="2:24" ht="21" x14ac:dyDescent="0.25">
      <c r="B20" s="50" t="s">
        <v>10</v>
      </c>
      <c r="C20" s="42" t="s">
        <v>30</v>
      </c>
      <c r="D20" s="58">
        <f>I8 * (F15^2 / F3^2)</f>
        <v>1145.3568</v>
      </c>
      <c r="E20" s="1">
        <v>1525.9059999999999</v>
      </c>
      <c r="F20" s="1">
        <v>1513.835</v>
      </c>
      <c r="G20" s="1">
        <v>1500.2819999999999</v>
      </c>
      <c r="H20" s="1">
        <v>1425.7159999999999</v>
      </c>
      <c r="I20" s="1">
        <v>1440.336</v>
      </c>
      <c r="J20" s="57">
        <f t="shared" si="3"/>
        <v>1481.2149999999999</v>
      </c>
      <c r="K20" s="4">
        <f>O8 * (F15^2 / F3^2)</f>
        <v>21174923.199999999</v>
      </c>
      <c r="L20" s="1">
        <v>26795694</v>
      </c>
      <c r="M20" s="1">
        <v>27643245</v>
      </c>
      <c r="N20" s="1">
        <v>26036064</v>
      </c>
      <c r="O20" s="1">
        <v>26078180</v>
      </c>
      <c r="P20" s="1">
        <v>26132953</v>
      </c>
      <c r="Q20" s="57">
        <f>AVERAGE(L20:P20)</f>
        <v>26537227.199999999</v>
      </c>
      <c r="R20" s="4">
        <f>U8 * (F15^2 / F3^2)</f>
        <v>21214919.199999999</v>
      </c>
      <c r="S20" s="1">
        <v>20815693</v>
      </c>
      <c r="T20" s="1">
        <v>20663244</v>
      </c>
      <c r="U20" s="1">
        <v>21056063</v>
      </c>
      <c r="V20" s="1">
        <v>21098179</v>
      </c>
      <c r="W20" s="1">
        <v>21152952</v>
      </c>
      <c r="X20" s="57">
        <f t="shared" si="4"/>
        <v>20957226.199999999</v>
      </c>
    </row>
    <row r="21" spans="2:24" ht="21" x14ac:dyDescent="0.25">
      <c r="B21" s="50" t="s">
        <v>14</v>
      </c>
      <c r="C21" s="42" t="s">
        <v>30</v>
      </c>
      <c r="D21" s="58">
        <f>I9 * (F15*LN(F15) / (F3*LN(F3)))</f>
        <v>140.52755304832928</v>
      </c>
      <c r="E21" s="1">
        <v>227.97300000000001</v>
      </c>
      <c r="F21" s="1">
        <v>230.88800000000001</v>
      </c>
      <c r="G21" s="1">
        <v>296.88400000000001</v>
      </c>
      <c r="H21" s="1">
        <v>231.339</v>
      </c>
      <c r="I21" s="1">
        <v>232.19300000000001</v>
      </c>
      <c r="J21" s="57">
        <f t="shared" si="3"/>
        <v>243.8554</v>
      </c>
      <c r="K21" s="4">
        <f>O9 * (F15*LN(F15) / (F3*LN(F3)))</f>
        <v>81263.660738075268</v>
      </c>
      <c r="L21" s="1">
        <v>54279</v>
      </c>
      <c r="M21" s="1">
        <v>55115</v>
      </c>
      <c r="N21" s="1">
        <v>55131</v>
      </c>
      <c r="O21" s="1">
        <v>54230</v>
      </c>
      <c r="P21" s="1">
        <v>54423</v>
      </c>
      <c r="Q21" s="57">
        <f t="shared" ref="Q21:Q25" si="5">AVERAGE(L21:P21)</f>
        <v>54635.6</v>
      </c>
      <c r="R21" s="4">
        <f>U9 * (F15^2 / F3^2)</f>
        <v>89954163.200000003</v>
      </c>
      <c r="S21" s="1">
        <v>88346523</v>
      </c>
      <c r="T21" s="1">
        <v>87636523</v>
      </c>
      <c r="U21" s="1">
        <v>88243423</v>
      </c>
      <c r="V21" s="1">
        <v>8896523</v>
      </c>
      <c r="W21" s="1">
        <v>88937485</v>
      </c>
      <c r="X21" s="57">
        <f>AVERAGE(S21:W21)</f>
        <v>72412095.400000006</v>
      </c>
    </row>
    <row r="22" spans="2:24" ht="21" x14ac:dyDescent="0.25">
      <c r="B22" s="50" t="s">
        <v>13</v>
      </c>
      <c r="C22" s="42" t="s">
        <v>31</v>
      </c>
      <c r="D22" s="58">
        <f>I10 * (F15*LN(F15) / (F3*LN(F3)))</f>
        <v>4.2855462876795913</v>
      </c>
      <c r="E22" s="1">
        <v>2.5550000000000002</v>
      </c>
      <c r="F22" s="1">
        <v>2.4300000000000002</v>
      </c>
      <c r="G22" s="1">
        <v>2.69</v>
      </c>
      <c r="H22" s="1">
        <v>2.7839999999999998</v>
      </c>
      <c r="I22" s="1">
        <v>2.839</v>
      </c>
      <c r="J22" s="57">
        <f t="shared" si="3"/>
        <v>2.6596000000000002</v>
      </c>
      <c r="K22" s="4">
        <f>O10 * (F15*LN(F15) / (F3*LN(F3)))</f>
        <v>85298.887080007218</v>
      </c>
      <c r="L22" s="1">
        <v>56836</v>
      </c>
      <c r="M22" s="1">
        <v>52609</v>
      </c>
      <c r="N22" s="1">
        <v>59879</v>
      </c>
      <c r="O22" s="1">
        <v>64423</v>
      </c>
      <c r="P22" s="1">
        <v>64011</v>
      </c>
      <c r="Q22" s="57">
        <f t="shared" si="5"/>
        <v>59551.6</v>
      </c>
      <c r="R22" s="4">
        <f>U10 * (F15*LN(F15) / (F3*LN(F3)))</f>
        <v>87881.225489403863</v>
      </c>
      <c r="S22" s="1">
        <v>58023</v>
      </c>
      <c r="T22" s="1">
        <v>53836</v>
      </c>
      <c r="U22" s="1">
        <v>61055</v>
      </c>
      <c r="V22" s="1">
        <v>65630</v>
      </c>
      <c r="W22" s="1">
        <v>65208</v>
      </c>
      <c r="X22" s="57">
        <f>AVERAGE(S22:W22)</f>
        <v>60750.400000000001</v>
      </c>
    </row>
    <row r="23" spans="2:24" ht="21" x14ac:dyDescent="0.25">
      <c r="B23" s="67" t="s">
        <v>20</v>
      </c>
      <c r="C23" s="68" t="s">
        <v>31</v>
      </c>
      <c r="D23" s="69">
        <f>I11 * (F15*LN(F15) / (F3*LN(F3)))</f>
        <v>20.605804606226567</v>
      </c>
      <c r="E23" s="17">
        <v>19.847000000000001</v>
      </c>
      <c r="F23" s="17">
        <v>19.826000000000001</v>
      </c>
      <c r="G23" s="17">
        <v>20.018000000000001</v>
      </c>
      <c r="H23" s="17">
        <v>19.893000000000001</v>
      </c>
      <c r="I23" s="17">
        <v>19.734999999999999</v>
      </c>
      <c r="J23" s="57">
        <f t="shared" si="3"/>
        <v>19.863800000000001</v>
      </c>
      <c r="K23" s="70">
        <f>O11 * (F15*LN(F15) / (F3*LN(F3)))</f>
        <v>172845.49243574843</v>
      </c>
      <c r="L23" s="17">
        <v>173586</v>
      </c>
      <c r="M23" s="17">
        <v>172627</v>
      </c>
      <c r="N23" s="17">
        <v>173075</v>
      </c>
      <c r="O23" s="17">
        <v>172622</v>
      </c>
      <c r="P23" s="17">
        <v>173130</v>
      </c>
      <c r="Q23" s="57">
        <f t="shared" si="5"/>
        <v>173008</v>
      </c>
      <c r="R23" s="70">
        <f>U11 * (F15*LN(F15) / (F3*LN(F3)))</f>
        <v>287343.21195031924</v>
      </c>
      <c r="S23" s="17">
        <v>287232</v>
      </c>
      <c r="T23" s="17">
        <v>287232</v>
      </c>
      <c r="U23" s="17">
        <v>287232</v>
      </c>
      <c r="V23" s="17">
        <v>287232</v>
      </c>
      <c r="W23" s="17">
        <v>287232</v>
      </c>
      <c r="X23" s="57">
        <f t="shared" si="4"/>
        <v>287232</v>
      </c>
    </row>
    <row r="24" spans="2:24" ht="22" thickBot="1" x14ac:dyDescent="0.3">
      <c r="B24" s="51" t="s">
        <v>27</v>
      </c>
      <c r="C24" s="52" t="s">
        <v>32</v>
      </c>
      <c r="D24" s="59">
        <f>I12 * (F15*LOG10(F15) / (F3*LOG10(F3)))</f>
        <v>19.330979315511762</v>
      </c>
      <c r="E24" s="7">
        <v>16.984999999999999</v>
      </c>
      <c r="F24" s="7">
        <v>17.023</v>
      </c>
      <c r="G24" s="7">
        <v>17.297999999999998</v>
      </c>
      <c r="H24" s="7">
        <v>16.922999999999998</v>
      </c>
      <c r="I24" s="7">
        <v>17.033000000000001</v>
      </c>
      <c r="J24" s="57">
        <f t="shared" si="3"/>
        <v>17.052399999999999</v>
      </c>
      <c r="K24" s="6"/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57">
        <f t="shared" si="5"/>
        <v>0</v>
      </c>
      <c r="R24" s="6">
        <f>U12 *(F15 / F3)</f>
        <v>400090</v>
      </c>
      <c r="S24" s="7">
        <v>400045</v>
      </c>
      <c r="T24" s="7">
        <v>400045</v>
      </c>
      <c r="U24" s="7">
        <v>400045</v>
      </c>
      <c r="V24" s="7">
        <v>400045</v>
      </c>
      <c r="W24" s="7">
        <v>400045</v>
      </c>
      <c r="X24" s="57">
        <f>AVERAGE(S24:W24)</f>
        <v>400045</v>
      </c>
    </row>
    <row r="25" spans="2:24" ht="21" x14ac:dyDescent="0.25">
      <c r="B25" s="72" t="s">
        <v>38</v>
      </c>
      <c r="C25" s="73" t="s">
        <v>31</v>
      </c>
      <c r="D25">
        <f>AVERAGE(D13:H13)*(20000*LN(20000))/(10000*LN(10000))</f>
        <v>6253.7238499784016</v>
      </c>
      <c r="E25" s="119">
        <v>12413.856</v>
      </c>
      <c r="F25" s="119">
        <v>11567.221</v>
      </c>
      <c r="G25" s="119">
        <v>12446.178</v>
      </c>
      <c r="H25" s="119">
        <v>12534.304</v>
      </c>
      <c r="I25" s="119">
        <v>11757.619000000001</v>
      </c>
      <c r="J25" s="57">
        <f t="shared" si="3"/>
        <v>12143.835599999999</v>
      </c>
      <c r="K25">
        <f>AVERAGE(J13:N13)*(20000*LN(20000))/(10000*LN(10000))</f>
        <v>91277000.49776046</v>
      </c>
      <c r="L25" s="119">
        <v>170818482</v>
      </c>
      <c r="M25" s="119">
        <v>170185406</v>
      </c>
      <c r="N25" s="119">
        <v>170861938</v>
      </c>
      <c r="O25" s="119">
        <v>170540156</v>
      </c>
      <c r="P25" s="119">
        <v>170740656</v>
      </c>
      <c r="Q25" s="57">
        <f t="shared" si="5"/>
        <v>170629327.59999999</v>
      </c>
      <c r="R25">
        <f>AVERAGE(P13:T13)*(20000*LN(20000))/(10000*LN(10000))</f>
        <v>91492051.997543648</v>
      </c>
      <c r="S25" s="119">
        <v>171018482</v>
      </c>
      <c r="T25" s="119">
        <v>170385406</v>
      </c>
      <c r="U25" s="119">
        <v>171061938</v>
      </c>
      <c r="V25" s="119">
        <v>170740156</v>
      </c>
      <c r="W25" s="119">
        <v>170940656</v>
      </c>
      <c r="X25" s="57">
        <f>AVERAGE(S25:W25)</f>
        <v>170829327.59999999</v>
      </c>
    </row>
  </sheetData>
  <mergeCells count="12">
    <mergeCell ref="D3:E3"/>
    <mergeCell ref="F3:G3"/>
    <mergeCell ref="H3:U3"/>
    <mergeCell ref="D15:E15"/>
    <mergeCell ref="F15:G15"/>
    <mergeCell ref="H15:X15"/>
    <mergeCell ref="D16:J16"/>
    <mergeCell ref="K16:Q16"/>
    <mergeCell ref="R16:X16"/>
    <mergeCell ref="D4:I4"/>
    <mergeCell ref="J4:O4"/>
    <mergeCell ref="P4:U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5ED4-D3C8-40D7-87A0-097CF4C340F3}">
  <dimension ref="B7:E9"/>
  <sheetViews>
    <sheetView topLeftCell="A16" zoomScale="56" zoomScaleNormal="55" workbookViewId="0">
      <selection activeCell="G16" sqref="G16"/>
    </sheetView>
  </sheetViews>
  <sheetFormatPr baseColWidth="10" defaultColWidth="8.83203125" defaultRowHeight="15" x14ac:dyDescent="0.2"/>
  <cols>
    <col min="2" max="2" width="16" customWidth="1"/>
    <col min="3" max="3" width="9.83203125" customWidth="1"/>
    <col min="4" max="4" width="18.33203125" customWidth="1"/>
    <col min="5" max="5" width="9.1640625" bestFit="1" customWidth="1"/>
  </cols>
  <sheetData>
    <row r="7" spans="2:5" x14ac:dyDescent="0.2">
      <c r="B7" t="s">
        <v>16</v>
      </c>
      <c r="C7" t="s">
        <v>37</v>
      </c>
      <c r="D7" t="s">
        <v>36</v>
      </c>
      <c r="E7" t="s">
        <v>35</v>
      </c>
    </row>
    <row r="8" spans="2:5" x14ac:dyDescent="0.2">
      <c r="B8" t="s">
        <v>33</v>
      </c>
      <c r="C8">
        <f>Search!I7</f>
        <v>5130934</v>
      </c>
      <c r="D8">
        <f>Search!I19</f>
        <v>51309340</v>
      </c>
      <c r="E8">
        <f>Search!I24</f>
        <v>56893406</v>
      </c>
    </row>
    <row r="9" spans="2:5" x14ac:dyDescent="0.2">
      <c r="B9" t="s">
        <v>34</v>
      </c>
      <c r="C9">
        <f>Search!N7</f>
        <v>22.1</v>
      </c>
      <c r="D9">
        <f>Search!N20</f>
        <v>0</v>
      </c>
      <c r="E9">
        <f>Search!N25</f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Search</vt:lpstr>
      <vt:lpstr>Sort rovnomerné data</vt:lpstr>
      <vt:lpstr>Sort kolísavo rastúce data</vt:lpstr>
      <vt:lpstr>Sort kolísavo klesajúce data</vt:lpstr>
      <vt:lpstr>Grafy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</dc:creator>
  <cp:lastModifiedBy>Bartko Martin</cp:lastModifiedBy>
  <dcterms:created xsi:type="dcterms:W3CDTF">2021-10-04T06:57:49Z</dcterms:created>
  <dcterms:modified xsi:type="dcterms:W3CDTF">2026-03-28T22:38:36Z</dcterms:modified>
</cp:coreProperties>
</file>